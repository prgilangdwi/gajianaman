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dad2a248ea6de0a/Documents/00. Claude AI/Claude Project/4. Fintrack/excel/"/>
    </mc:Choice>
  </mc:AlternateContent>
  <xr:revisionPtr revIDLastSave="11" documentId="11_CACDEBADEA45BE833DCF6153B06B79AD0E379166" xr6:coauthVersionLast="47" xr6:coauthVersionMax="47" xr10:uidLastSave="{5F9EF7AB-F2A9-4218-97B6-39907C06BB1E}"/>
  <bookViews>
    <workbookView xWindow="-110" yWindow="-110" windowWidth="19420" windowHeight="11500" tabRatio="500" activeTab="3" xr2:uid="{00000000-000D-0000-FFFF-FFFF00000000}"/>
  </bookViews>
  <sheets>
    <sheet name="Cover" sheetId="1" r:id="rId1"/>
    <sheet name="Assumptions" sheetId="2" r:id="rId2"/>
    <sheet name="Pricing Plans" sheetId="3" r:id="rId3"/>
    <sheet name="AI Cost" sheetId="4" r:id="rId4"/>
    <sheet name="Infra Cost" sheetId="5" r:id="rId5"/>
    <sheet name="Revenue Model" sheetId="6" r:id="rId6"/>
    <sheet name="P&amp;L Summary" sheetId="7" r:id="rId7"/>
    <sheet name="Scenari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8" l="1"/>
  <c r="L8" i="8"/>
  <c r="K8" i="8"/>
  <c r="I8" i="8"/>
  <c r="H8" i="8"/>
  <c r="G8" i="8"/>
  <c r="E8" i="8"/>
  <c r="D8" i="8"/>
  <c r="C8" i="8"/>
  <c r="M7" i="8"/>
  <c r="M9" i="8" s="1"/>
  <c r="M13" i="8" s="1"/>
  <c r="L7" i="8"/>
  <c r="L9" i="8" s="1"/>
  <c r="K7" i="8"/>
  <c r="K9" i="8" s="1"/>
  <c r="I7" i="8"/>
  <c r="H7" i="8"/>
  <c r="G7" i="8"/>
  <c r="E7" i="8"/>
  <c r="D7" i="8"/>
  <c r="C7" i="8"/>
  <c r="H28" i="6"/>
  <c r="G28" i="6"/>
  <c r="F28" i="6"/>
  <c r="D28" i="6"/>
  <c r="C28" i="6"/>
  <c r="J26" i="6"/>
  <c r="I26" i="6"/>
  <c r="H26" i="6"/>
  <c r="G26" i="6"/>
  <c r="F26" i="6"/>
  <c r="E26" i="6"/>
  <c r="K23" i="6"/>
  <c r="J23" i="6"/>
  <c r="I23" i="6"/>
  <c r="H23" i="6"/>
  <c r="G23" i="6"/>
  <c r="F23" i="6"/>
  <c r="E23" i="6"/>
  <c r="E28" i="6" s="1"/>
  <c r="D23" i="6"/>
  <c r="C23" i="6"/>
  <c r="K22" i="6"/>
  <c r="K27" i="6" s="1"/>
  <c r="J22" i="6"/>
  <c r="J27" i="6" s="1"/>
  <c r="I22" i="6"/>
  <c r="H22" i="6"/>
  <c r="G22" i="6"/>
  <c r="F22" i="6"/>
  <c r="E22" i="6"/>
  <c r="D22" i="6"/>
  <c r="C22" i="6"/>
  <c r="K21" i="6"/>
  <c r="J21" i="6"/>
  <c r="I21" i="6"/>
  <c r="H21" i="6"/>
  <c r="G21" i="6"/>
  <c r="F21" i="6"/>
  <c r="E21" i="6"/>
  <c r="D21" i="6"/>
  <c r="D26" i="6" s="1"/>
  <c r="C21" i="6"/>
  <c r="C26" i="6" s="1"/>
  <c r="K20" i="6"/>
  <c r="J20" i="6"/>
  <c r="I20" i="6"/>
  <c r="H20" i="6"/>
  <c r="G20" i="6"/>
  <c r="F20" i="6"/>
  <c r="E20" i="6"/>
  <c r="D20" i="6"/>
  <c r="C20" i="6"/>
  <c r="K16" i="6"/>
  <c r="J16" i="6"/>
  <c r="I16" i="6"/>
  <c r="H16" i="6"/>
  <c r="G16" i="6"/>
  <c r="F16" i="6"/>
  <c r="E16" i="6"/>
  <c r="D16" i="6"/>
  <c r="C16" i="6"/>
  <c r="K15" i="6"/>
  <c r="J15" i="6"/>
  <c r="I15" i="6"/>
  <c r="I27" i="6" s="1"/>
  <c r="H15" i="6"/>
  <c r="G15" i="6"/>
  <c r="G17" i="6" s="1"/>
  <c r="F15" i="6"/>
  <c r="E15" i="6"/>
  <c r="D15" i="6"/>
  <c r="D17" i="6" s="1"/>
  <c r="C15" i="6"/>
  <c r="C17" i="6" s="1"/>
  <c r="K14" i="6"/>
  <c r="K17" i="6" s="1"/>
  <c r="J14" i="6"/>
  <c r="J17" i="6" s="1"/>
  <c r="I14" i="6"/>
  <c r="H14" i="6"/>
  <c r="G14" i="6"/>
  <c r="F14" i="6"/>
  <c r="E14" i="6"/>
  <c r="D14" i="6"/>
  <c r="C14" i="6"/>
  <c r="K13" i="6"/>
  <c r="J13" i="6"/>
  <c r="I13" i="6"/>
  <c r="H13" i="6"/>
  <c r="G13" i="6"/>
  <c r="F13" i="6"/>
  <c r="E13" i="6"/>
  <c r="D13" i="6"/>
  <c r="C13" i="6"/>
  <c r="K10" i="6"/>
  <c r="J10" i="6"/>
  <c r="I10" i="6"/>
  <c r="H10" i="6"/>
  <c r="G10" i="6"/>
  <c r="F10" i="6"/>
  <c r="E10" i="6"/>
  <c r="D10" i="6"/>
  <c r="C10" i="6"/>
  <c r="K22" i="5"/>
  <c r="J22" i="5"/>
  <c r="I22" i="5"/>
  <c r="H22" i="5"/>
  <c r="G22" i="5"/>
  <c r="F22" i="5"/>
  <c r="E22" i="5"/>
  <c r="D22" i="5"/>
  <c r="C22" i="5"/>
  <c r="K21" i="5"/>
  <c r="J21" i="5"/>
  <c r="I21" i="5"/>
  <c r="H21" i="5"/>
  <c r="G21" i="5"/>
  <c r="F21" i="5"/>
  <c r="E21" i="5"/>
  <c r="D21" i="5"/>
  <c r="C21" i="5"/>
  <c r="K20" i="5"/>
  <c r="J20" i="5"/>
  <c r="I20" i="5"/>
  <c r="H20" i="5"/>
  <c r="G20" i="5"/>
  <c r="F20" i="5"/>
  <c r="E20" i="5"/>
  <c r="D20" i="5"/>
  <c r="C20" i="5"/>
  <c r="K16" i="5"/>
  <c r="J16" i="5"/>
  <c r="C16" i="5"/>
  <c r="K15" i="5"/>
  <c r="J15" i="5"/>
  <c r="I15" i="5"/>
  <c r="H15" i="5"/>
  <c r="G15" i="5"/>
  <c r="F15" i="5"/>
  <c r="E15" i="5"/>
  <c r="D15" i="5"/>
  <c r="C15" i="5"/>
  <c r="E14" i="5"/>
  <c r="D14" i="5"/>
  <c r="C14" i="5"/>
  <c r="K13" i="5"/>
  <c r="J13" i="5"/>
  <c r="I13" i="5"/>
  <c r="H13" i="5"/>
  <c r="G13" i="5"/>
  <c r="F13" i="5"/>
  <c r="E13" i="5"/>
  <c r="K9" i="5"/>
  <c r="J9" i="5"/>
  <c r="I9" i="5"/>
  <c r="I16" i="5" s="1"/>
  <c r="H9" i="5"/>
  <c r="H16" i="5" s="1"/>
  <c r="G9" i="5"/>
  <c r="G16" i="5" s="1"/>
  <c r="F9" i="5"/>
  <c r="F16" i="5" s="1"/>
  <c r="E9" i="5"/>
  <c r="E16" i="5" s="1"/>
  <c r="D9" i="5"/>
  <c r="D16" i="5" s="1"/>
  <c r="C9" i="5"/>
  <c r="K8" i="5"/>
  <c r="J8" i="5"/>
  <c r="I8" i="5"/>
  <c r="H8" i="5"/>
  <c r="G8" i="5"/>
  <c r="F8" i="5"/>
  <c r="E8" i="5"/>
  <c r="D8" i="5"/>
  <c r="C8" i="5"/>
  <c r="K7" i="5"/>
  <c r="K14" i="5" s="1"/>
  <c r="J7" i="5"/>
  <c r="J14" i="5" s="1"/>
  <c r="I7" i="5"/>
  <c r="I14" i="5" s="1"/>
  <c r="H7" i="5"/>
  <c r="H14" i="5" s="1"/>
  <c r="G7" i="5"/>
  <c r="G14" i="5" s="1"/>
  <c r="F7" i="5"/>
  <c r="F14" i="5" s="1"/>
  <c r="E7" i="5"/>
  <c r="D7" i="5"/>
  <c r="C7" i="5"/>
  <c r="K6" i="5"/>
  <c r="K10" i="5" s="1"/>
  <c r="K17" i="5" s="1"/>
  <c r="K10" i="7" s="1"/>
  <c r="J6" i="5"/>
  <c r="J10" i="5" s="1"/>
  <c r="J17" i="5" s="1"/>
  <c r="J10" i="7" s="1"/>
  <c r="I6" i="5"/>
  <c r="I10" i="5" s="1"/>
  <c r="I17" i="5" s="1"/>
  <c r="I10" i="7" s="1"/>
  <c r="H6" i="5"/>
  <c r="H10" i="5" s="1"/>
  <c r="H17" i="5" s="1"/>
  <c r="H10" i="7" s="1"/>
  <c r="G6" i="5"/>
  <c r="G10" i="5" s="1"/>
  <c r="G17" i="5" s="1"/>
  <c r="G10" i="7" s="1"/>
  <c r="F6" i="5"/>
  <c r="F10" i="5" s="1"/>
  <c r="F17" i="5" s="1"/>
  <c r="F10" i="7" s="1"/>
  <c r="E6" i="5"/>
  <c r="E10" i="5" s="1"/>
  <c r="E17" i="5" s="1"/>
  <c r="E10" i="7" s="1"/>
  <c r="D6" i="5"/>
  <c r="D13" i="5" s="1"/>
  <c r="C6" i="5"/>
  <c r="C13" i="5" s="1"/>
  <c r="K35" i="4"/>
  <c r="J35" i="4"/>
  <c r="I35" i="4"/>
  <c r="H35" i="4"/>
  <c r="G35" i="4"/>
  <c r="F35" i="4"/>
  <c r="E35" i="4"/>
  <c r="D35" i="4"/>
  <c r="C35" i="4"/>
  <c r="K34" i="4"/>
  <c r="J34" i="4"/>
  <c r="I34" i="4"/>
  <c r="H34" i="4"/>
  <c r="G34" i="4"/>
  <c r="F34" i="4"/>
  <c r="E34" i="4"/>
  <c r="D34" i="4"/>
  <c r="C34" i="4"/>
  <c r="K18" i="4"/>
  <c r="J18" i="4"/>
  <c r="I18" i="4"/>
  <c r="H18" i="4"/>
  <c r="G18" i="4"/>
  <c r="F18" i="4"/>
  <c r="E18" i="4"/>
  <c r="D18" i="4"/>
  <c r="C18" i="4"/>
  <c r="K17" i="4"/>
  <c r="J17" i="4"/>
  <c r="I17" i="4"/>
  <c r="H17" i="4"/>
  <c r="G17" i="4"/>
  <c r="F17" i="4"/>
  <c r="E17" i="4"/>
  <c r="D17" i="4"/>
  <c r="C17" i="4"/>
  <c r="K16" i="4"/>
  <c r="J16" i="4"/>
  <c r="I16" i="4"/>
  <c r="H16" i="4"/>
  <c r="G16" i="4"/>
  <c r="F16" i="4"/>
  <c r="E16" i="4"/>
  <c r="D16" i="4"/>
  <c r="C16" i="4"/>
  <c r="C20" i="4" s="1"/>
  <c r="C24" i="4" s="1"/>
  <c r="K15" i="4"/>
  <c r="J15" i="4"/>
  <c r="I15" i="4"/>
  <c r="H15" i="4"/>
  <c r="G15" i="4"/>
  <c r="F15" i="4"/>
  <c r="E15" i="4"/>
  <c r="D15" i="4"/>
  <c r="C15" i="4"/>
  <c r="K14" i="4"/>
  <c r="K20" i="4" s="1"/>
  <c r="K24" i="4" s="1"/>
  <c r="J14" i="4"/>
  <c r="J20" i="4" s="1"/>
  <c r="J24" i="4" s="1"/>
  <c r="I14" i="4"/>
  <c r="H14" i="4"/>
  <c r="G14" i="4"/>
  <c r="F14" i="4"/>
  <c r="E14" i="4"/>
  <c r="E20" i="4" s="1"/>
  <c r="E24" i="4" s="1"/>
  <c r="D14" i="4"/>
  <c r="D20" i="4" s="1"/>
  <c r="D24" i="4" s="1"/>
  <c r="C14" i="4"/>
  <c r="K13" i="4"/>
  <c r="J13" i="4"/>
  <c r="I13" i="4"/>
  <c r="H13" i="4"/>
  <c r="H19" i="4" s="1"/>
  <c r="H23" i="4" s="1"/>
  <c r="G13" i="4"/>
  <c r="G19" i="4" s="1"/>
  <c r="G23" i="4" s="1"/>
  <c r="F13" i="4"/>
  <c r="F19" i="4" s="1"/>
  <c r="F23" i="4" s="1"/>
  <c r="E13" i="4"/>
  <c r="E19" i="4" s="1"/>
  <c r="E23" i="4" s="1"/>
  <c r="D13" i="4"/>
  <c r="D19" i="4" s="1"/>
  <c r="D23" i="4" s="1"/>
  <c r="C13" i="4"/>
  <c r="C19" i="4" s="1"/>
  <c r="C23" i="4" s="1"/>
  <c r="K10" i="4"/>
  <c r="J10" i="4"/>
  <c r="I10" i="4"/>
  <c r="H10" i="4"/>
  <c r="G10" i="4"/>
  <c r="F10" i="4"/>
  <c r="E10" i="4"/>
  <c r="D10" i="4"/>
  <c r="C10" i="4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C8" i="4"/>
  <c r="K7" i="4"/>
  <c r="J7" i="4"/>
  <c r="I7" i="4"/>
  <c r="H7" i="4"/>
  <c r="G7" i="4"/>
  <c r="F7" i="4"/>
  <c r="E7" i="4"/>
  <c r="D7" i="4"/>
  <c r="C7" i="4"/>
  <c r="K6" i="4"/>
  <c r="J6" i="4"/>
  <c r="I6" i="4"/>
  <c r="H6" i="4"/>
  <c r="G6" i="4"/>
  <c r="F6" i="4"/>
  <c r="E6" i="4"/>
  <c r="D6" i="4"/>
  <c r="C6" i="4"/>
  <c r="F7" i="3"/>
  <c r="E7" i="3"/>
  <c r="D7" i="3"/>
  <c r="C7" i="3"/>
  <c r="F6" i="3"/>
  <c r="E6" i="3"/>
  <c r="D6" i="3"/>
  <c r="C6" i="3"/>
  <c r="I28" i="6" l="1"/>
  <c r="K28" i="6"/>
  <c r="J28" i="6"/>
  <c r="E27" i="6"/>
  <c r="F27" i="6"/>
  <c r="F29" i="6"/>
  <c r="H27" i="6"/>
  <c r="H29" i="6"/>
  <c r="J29" i="6"/>
  <c r="J38" i="6"/>
  <c r="F20" i="4"/>
  <c r="F24" i="4" s="1"/>
  <c r="C36" i="4"/>
  <c r="C37" i="4" s="1"/>
  <c r="J19" i="4"/>
  <c r="J23" i="4" s="1"/>
  <c r="J25" i="4" s="1"/>
  <c r="D36" i="4"/>
  <c r="D37" i="4" s="1"/>
  <c r="G20" i="4"/>
  <c r="G24" i="4" s="1"/>
  <c r="G25" i="4" s="1"/>
  <c r="H20" i="4"/>
  <c r="H24" i="4" s="1"/>
  <c r="H25" i="4" s="1"/>
  <c r="I20" i="4"/>
  <c r="I24" i="4" s="1"/>
  <c r="K19" i="4"/>
  <c r="K23" i="4" s="1"/>
  <c r="K25" i="4" s="1"/>
  <c r="K29" i="4" s="1"/>
  <c r="K9" i="7" s="1"/>
  <c r="I19" i="4"/>
  <c r="I23" i="4" s="1"/>
  <c r="I25" i="4" s="1"/>
  <c r="I29" i="4" s="1"/>
  <c r="E36" i="4"/>
  <c r="E37" i="4" s="1"/>
  <c r="H36" i="4"/>
  <c r="H37" i="4" s="1"/>
  <c r="K36" i="4"/>
  <c r="K37" i="4" s="1"/>
  <c r="F36" i="4"/>
  <c r="F37" i="4" s="1"/>
  <c r="J36" i="4"/>
  <c r="J37" i="4" s="1"/>
  <c r="G36" i="4"/>
  <c r="G37" i="4" s="1"/>
  <c r="I36" i="4"/>
  <c r="I37" i="4" s="1"/>
  <c r="C9" i="8"/>
  <c r="C13" i="8" s="1"/>
  <c r="H6" i="7"/>
  <c r="H37" i="6"/>
  <c r="H30" i="6"/>
  <c r="H34" i="6" s="1"/>
  <c r="H33" i="6"/>
  <c r="H21" i="7" s="1"/>
  <c r="C25" i="4"/>
  <c r="J26" i="4"/>
  <c r="J30" i="4" s="1"/>
  <c r="J29" i="4"/>
  <c r="J9" i="7" s="1"/>
  <c r="L13" i="8"/>
  <c r="L10" i="8"/>
  <c r="I29" i="6"/>
  <c r="M10" i="8"/>
  <c r="F6" i="7"/>
  <c r="F30" i="6"/>
  <c r="F34" i="6" s="1"/>
  <c r="F37" i="6"/>
  <c r="F33" i="6"/>
  <c r="F21" i="7" s="1"/>
  <c r="K13" i="8"/>
  <c r="K10" i="8"/>
  <c r="J37" i="6"/>
  <c r="J30" i="6"/>
  <c r="J34" i="6" s="1"/>
  <c r="J6" i="7"/>
  <c r="J33" i="6"/>
  <c r="J21" i="7" s="1"/>
  <c r="D25" i="4"/>
  <c r="E25" i="4"/>
  <c r="F25" i="4"/>
  <c r="E29" i="6"/>
  <c r="D9" i="8"/>
  <c r="D13" i="8" s="1"/>
  <c r="E9" i="8"/>
  <c r="E13" i="8" s="1"/>
  <c r="D10" i="5"/>
  <c r="D17" i="5" s="1"/>
  <c r="D10" i="7" s="1"/>
  <c r="K26" i="6"/>
  <c r="K29" i="6" s="1"/>
  <c r="I17" i="6"/>
  <c r="C27" i="6"/>
  <c r="C29" i="6" s="1"/>
  <c r="H17" i="6"/>
  <c r="H38" i="6" s="1"/>
  <c r="D27" i="6"/>
  <c r="D29" i="6" s="1"/>
  <c r="E17" i="6"/>
  <c r="G9" i="8"/>
  <c r="G13" i="8" s="1"/>
  <c r="C10" i="5"/>
  <c r="C17" i="5" s="1"/>
  <c r="C10" i="7" s="1"/>
  <c r="F17" i="6"/>
  <c r="F38" i="6" s="1"/>
  <c r="I9" i="8"/>
  <c r="I13" i="8" s="1"/>
  <c r="G27" i="6"/>
  <c r="G29" i="6" s="1"/>
  <c r="H9" i="8"/>
  <c r="H13" i="8" s="1"/>
  <c r="I38" i="6" l="1"/>
  <c r="I10" i="8"/>
  <c r="H26" i="4"/>
  <c r="H30" i="4" s="1"/>
  <c r="H29" i="4"/>
  <c r="H9" i="7" s="1"/>
  <c r="G26" i="4"/>
  <c r="G30" i="4" s="1"/>
  <c r="G29" i="4"/>
  <c r="G9" i="7" s="1"/>
  <c r="G11" i="7" s="1"/>
  <c r="K38" i="4"/>
  <c r="K26" i="4"/>
  <c r="K30" i="4" s="1"/>
  <c r="I26" i="4"/>
  <c r="I30" i="4" s="1"/>
  <c r="I9" i="7"/>
  <c r="I11" i="7" s="1"/>
  <c r="I38" i="4"/>
  <c r="G10" i="8"/>
  <c r="C10" i="8"/>
  <c r="C37" i="6"/>
  <c r="C6" i="7"/>
  <c r="C33" i="6"/>
  <c r="C21" i="7" s="1"/>
  <c r="C30" i="6"/>
  <c r="C34" i="6" s="1"/>
  <c r="C38" i="6"/>
  <c r="G30" i="6"/>
  <c r="G34" i="6" s="1"/>
  <c r="G6" i="7"/>
  <c r="G37" i="6"/>
  <c r="G33" i="6"/>
  <c r="G21" i="7" s="1"/>
  <c r="G38" i="6"/>
  <c r="H17" i="7"/>
  <c r="K30" i="6"/>
  <c r="K34" i="6" s="1"/>
  <c r="K33" i="6"/>
  <c r="K21" i="7" s="1"/>
  <c r="K6" i="7"/>
  <c r="K37" i="6"/>
  <c r="H22" i="7"/>
  <c r="H11" i="7"/>
  <c r="H15" i="7" s="1"/>
  <c r="F17" i="7"/>
  <c r="F29" i="4"/>
  <c r="F26" i="4"/>
  <c r="F30" i="4" s="1"/>
  <c r="H10" i="8"/>
  <c r="K14" i="8"/>
  <c r="K11" i="8"/>
  <c r="K15" i="8" s="1"/>
  <c r="J11" i="7"/>
  <c r="J22" i="7"/>
  <c r="E10" i="8"/>
  <c r="E26" i="4"/>
  <c r="E30" i="4" s="1"/>
  <c r="E29" i="4"/>
  <c r="K38" i="6"/>
  <c r="L14" i="8"/>
  <c r="L11" i="8"/>
  <c r="L15" i="8" s="1"/>
  <c r="I14" i="8"/>
  <c r="I11" i="8"/>
  <c r="I15" i="8" s="1"/>
  <c r="G22" i="7"/>
  <c r="M11" i="8"/>
  <c r="M15" i="8" s="1"/>
  <c r="M14" i="8"/>
  <c r="D10" i="8"/>
  <c r="D33" i="6"/>
  <c r="D21" i="7" s="1"/>
  <c r="D30" i="6"/>
  <c r="D34" i="6" s="1"/>
  <c r="D6" i="7"/>
  <c r="D37" i="6"/>
  <c r="I33" i="6"/>
  <c r="I21" i="7" s="1"/>
  <c r="I30" i="6"/>
  <c r="I34" i="6" s="1"/>
  <c r="I6" i="7"/>
  <c r="I37" i="6"/>
  <c r="D38" i="6"/>
  <c r="G38" i="4"/>
  <c r="K11" i="7"/>
  <c r="K22" i="7"/>
  <c r="E33" i="6"/>
  <c r="E21" i="7" s="1"/>
  <c r="E6" i="7"/>
  <c r="E30" i="6"/>
  <c r="E34" i="6" s="1"/>
  <c r="E37" i="6"/>
  <c r="D29" i="4"/>
  <c r="D26" i="4"/>
  <c r="D30" i="4" s="1"/>
  <c r="J38" i="4"/>
  <c r="E38" i="6"/>
  <c r="C26" i="4"/>
  <c r="C30" i="4" s="1"/>
  <c r="C29" i="4"/>
  <c r="J17" i="7"/>
  <c r="I22" i="7"/>
  <c r="H38" i="4" l="1"/>
  <c r="I12" i="8"/>
  <c r="M12" i="8"/>
  <c r="H14" i="7"/>
  <c r="H27" i="7" s="1"/>
  <c r="C14" i="8"/>
  <c r="C11" i="8"/>
  <c r="C15" i="8" s="1"/>
  <c r="G11" i="8"/>
  <c r="G15" i="8" s="1"/>
  <c r="G14" i="8"/>
  <c r="E17" i="7"/>
  <c r="K12" i="8"/>
  <c r="K15" i="7"/>
  <c r="K14" i="7"/>
  <c r="K17" i="7"/>
  <c r="K18" i="7" s="1"/>
  <c r="G16" i="7"/>
  <c r="G28" i="7"/>
  <c r="G17" i="7"/>
  <c r="G18" i="7" s="1"/>
  <c r="G15" i="7"/>
  <c r="G14" i="7"/>
  <c r="I17" i="7"/>
  <c r="I15" i="7"/>
  <c r="I14" i="7"/>
  <c r="E9" i="7"/>
  <c r="E38" i="4"/>
  <c r="K16" i="7"/>
  <c r="K28" i="7"/>
  <c r="H14" i="8"/>
  <c r="H11" i="8"/>
  <c r="H15" i="8" s="1"/>
  <c r="D17" i="7"/>
  <c r="H16" i="7"/>
  <c r="H18" i="7" s="1"/>
  <c r="H28" i="7"/>
  <c r="J16" i="7"/>
  <c r="J18" i="7" s="1"/>
  <c r="J28" i="7"/>
  <c r="J15" i="7"/>
  <c r="J14" i="7"/>
  <c r="F9" i="7"/>
  <c r="F38" i="4"/>
  <c r="L12" i="8"/>
  <c r="D9" i="7"/>
  <c r="D38" i="4"/>
  <c r="C17" i="7"/>
  <c r="E14" i="8"/>
  <c r="E11" i="8"/>
  <c r="E15" i="8" s="1"/>
  <c r="I16" i="7"/>
  <c r="I28" i="7"/>
  <c r="C9" i="7"/>
  <c r="C38" i="4"/>
  <c r="D14" i="8"/>
  <c r="D11" i="8"/>
  <c r="D15" i="8" s="1"/>
  <c r="H23" i="7" l="1"/>
  <c r="H12" i="8"/>
  <c r="D12" i="8"/>
  <c r="C12" i="8"/>
  <c r="G12" i="8"/>
  <c r="K23" i="7"/>
  <c r="K27" i="7"/>
  <c r="F11" i="7"/>
  <c r="F22" i="7"/>
  <c r="G23" i="7"/>
  <c r="G27" i="7"/>
  <c r="E12" i="8"/>
  <c r="D11" i="7"/>
  <c r="D22" i="7"/>
  <c r="J27" i="7"/>
  <c r="J23" i="7"/>
  <c r="C11" i="7"/>
  <c r="C22" i="7"/>
  <c r="E11" i="7"/>
  <c r="E22" i="7"/>
  <c r="I18" i="7"/>
  <c r="I27" i="7"/>
  <c r="I23" i="7"/>
  <c r="E28" i="7" l="1"/>
  <c r="E16" i="7"/>
  <c r="E18" i="7" s="1"/>
  <c r="E14" i="7"/>
  <c r="E15" i="7"/>
  <c r="C28" i="7"/>
  <c r="C16" i="7"/>
  <c r="C18" i="7" s="1"/>
  <c r="C15" i="7"/>
  <c r="C14" i="7"/>
  <c r="D16" i="7"/>
  <c r="D18" i="7" s="1"/>
  <c r="D28" i="7"/>
  <c r="D14" i="7"/>
  <c r="D15" i="7"/>
  <c r="F16" i="7"/>
  <c r="F18" i="7" s="1"/>
  <c r="F28" i="7"/>
  <c r="F15" i="7"/>
  <c r="F14" i="7"/>
  <c r="C23" i="7" l="1"/>
  <c r="C27" i="7"/>
  <c r="F23" i="7"/>
  <c r="F27" i="7"/>
  <c r="D27" i="7"/>
  <c r="D23" i="7"/>
  <c r="E27" i="7"/>
  <c r="E23" i="7"/>
</calcChain>
</file>

<file path=xl/sharedStrings.xml><?xml version="1.0" encoding="utf-8"?>
<sst xmlns="http://schemas.openxmlformats.org/spreadsheetml/2006/main" count="533" uniqueCount="317">
  <si>
    <t>GAJIAN AMAN — Business Model &amp; Cost Financial Model</t>
  </si>
  <si>
    <t>Cost Structure  •  Revenue Model  •  Pricing Tiers  •  Scenario Analysis  •  P&amp;L</t>
  </si>
  <si>
    <t>Version</t>
  </si>
  <si>
    <t>v2.0 — May 2026</t>
  </si>
  <si>
    <t>Currency</t>
  </si>
  <si>
    <t>IDR primary  |  USD reference  |  Rate: 16,000 IDR/USD (editable in Assumptions)</t>
  </si>
  <si>
    <t>Model type</t>
  </si>
  <si>
    <t>Bottom-up activity-based cost model + subscription revenue model</t>
  </si>
  <si>
    <t>User range</t>
  </si>
  <si>
    <t>10 → 10,000 registered users</t>
  </si>
  <si>
    <t>Scenarios</t>
  </si>
  <si>
    <t>Conservative (0.6x) / Base (1.0x) / Growth (1.5x) activity multiplier</t>
  </si>
  <si>
    <t>SHEET INDEX</t>
  </si>
  <si>
    <t xml:space="preserve">  1.  Assumptions</t>
  </si>
  <si>
    <t>All input variables: pricing, behavior, FX, infra thresholds, plan features</t>
  </si>
  <si>
    <t xml:space="preserve">  2.  Pricing Plans</t>
  </si>
  <si>
    <t>Free / Starter / Pro / Business plan definition — features, limits, prices</t>
  </si>
  <si>
    <t xml:space="preserve">  3.  AI Cost</t>
  </si>
  <si>
    <t>Claude Haiku API token consumption &amp; cost (USD + IDR) per user count</t>
  </si>
  <si>
    <t xml:space="preserve">  4.  Infra Cost</t>
  </si>
  <si>
    <t>Railway, Supabase, Vercel tier costs (USD + IDR) by user threshold</t>
  </si>
  <si>
    <t xml:space="preserve">  5.  Revenue Model</t>
  </si>
  <si>
    <t>User mix by plan × price → MRR, ARR, ARPU, growth projection</t>
  </si>
  <si>
    <t xml:space="preserve">  6.  P&amp;L Summary</t>
  </si>
  <si>
    <t>Revenue minus cost = gross profit, margin, breakeven analysis</t>
  </si>
  <si>
    <t xml:space="preserve">  7.  Scenario</t>
  </si>
  <si>
    <t>Conservative / Base / Growth P&amp;L comparison across 100 / 500 / 1,000 users</t>
  </si>
  <si>
    <t>COLOR LEGEND</t>
  </si>
  <si>
    <t xml:space="preserve">  Blue on Yellow = Editable input — change these</t>
  </si>
  <si>
    <t xml:space="preserve">  Green = Cross-sheet formula link</t>
  </si>
  <si>
    <t xml:space="preserve">  Blue background = Subtotal / Total row</t>
  </si>
  <si>
    <t xml:space="preserve">  Teal background = Revenue / profit row</t>
  </si>
  <si>
    <t>ASSUMPTIONS — All Editable Inputs</t>
  </si>
  <si>
    <t>Blue = input you can change  |  Black = formula  |  Green = cross-sheet link</t>
  </si>
  <si>
    <t>A. USER BEHAVIOR — TELEGRAM BOT</t>
  </si>
  <si>
    <t>Daily Active Users (% of total)</t>
  </si>
  <si>
    <t>%</t>
  </si>
  <si>
    <t>40% of users send msg on any given day</t>
  </si>
  <si>
    <t>Text transactions per DAU per day</t>
  </si>
  <si>
    <t>tx/day</t>
  </si>
  <si>
    <t>Natural language messages to bot</t>
  </si>
  <si>
    <t>Image transactions per DAU per day</t>
  </si>
  <si>
    <t>img/day</t>
  </si>
  <si>
    <t>Receipt / e-wallet screenshot</t>
  </si>
  <si>
    <t>Active days per month</t>
  </si>
  <si>
    <t>days</t>
  </si>
  <si>
    <t>B. USER BEHAVIOR — WEB DASHBOARD</t>
  </si>
  <si>
    <t>Web Monthly Active Users (% of total)</t>
  </si>
  <si>
    <t>60% use dashboard at least once/mo</t>
  </si>
  <si>
    <t>Web sessions per MAU per month</t>
  </si>
  <si>
    <t>sessions/mo</t>
  </si>
  <si>
    <t>Image uploads per web session</t>
  </si>
  <si>
    <t>img/session</t>
  </si>
  <si>
    <t>C. CLAUDE HAIKU API PRICING</t>
  </si>
  <si>
    <t>⚠  Claude Pro license ($20/mo) is for claude.ai personal use — API is billed separately per token</t>
  </si>
  <si>
    <t>Haiku input price (USD per 1M tokens)</t>
  </si>
  <si>
    <t>USD/1M</t>
  </si>
  <si>
    <t>claude-haiku-4-5 current rate</t>
  </si>
  <si>
    <t>Haiku output price (USD per 1M tokens)</t>
  </si>
  <si>
    <t>D. TOKEN ESTIMATES PER CALL</t>
  </si>
  <si>
    <t>Text categorize — input tokens</t>
  </si>
  <si>
    <t>tokens</t>
  </si>
  <si>
    <t>System prompt 250 + user message 100</t>
  </si>
  <si>
    <t>Text categorize — output tokens</t>
  </si>
  <si>
    <t>JSON: category, type, confidence</t>
  </si>
  <si>
    <t>Image parse bot — input tokens</t>
  </si>
  <si>
    <t>~1,500 image + 300 system prompt</t>
  </si>
  <si>
    <t>Image parse bot — output tokens</t>
  </si>
  <si>
    <t>Parsed JSON response</t>
  </si>
  <si>
    <t>Image parse web — input tokens</t>
  </si>
  <si>
    <t>Slightly larger context via Vercel API</t>
  </si>
  <si>
    <t>Image parse web — output tokens</t>
  </si>
  <si>
    <t>Full structured JSON</t>
  </si>
  <si>
    <t>NLP full text mode — input tokens</t>
  </si>
  <si>
    <t>Free-chat parsing scenario</t>
  </si>
  <si>
    <t>NLP full text mode — output tokens</t>
  </si>
  <si>
    <t>Extraction + confirmation</t>
  </si>
  <si>
    <t>E. FIXED INFRASTRUCTURE COSTS (USD/mo)</t>
  </si>
  <si>
    <t>Railway (bot + scheduler)</t>
  </si>
  <si>
    <t>USD/mo</t>
  </si>
  <si>
    <t>Current paid plan</t>
  </si>
  <si>
    <t>Supabase Free tier</t>
  </si>
  <si>
    <t>500MB DB, 2GB transfer</t>
  </si>
  <si>
    <t>Vercel Free tier</t>
  </si>
  <si>
    <t>100GB bandwidth, serverless</t>
  </si>
  <si>
    <t>Claude Pro personal license</t>
  </si>
  <si>
    <t>claude.ai access — NOT API cost</t>
  </si>
  <si>
    <t>F. INFRASTRUCTURE SCALE THRESHOLDS</t>
  </si>
  <si>
    <t>Supabase → Pro threshold (users)</t>
  </si>
  <si>
    <t>users</t>
  </si>
  <si>
    <t>Supabase Pro cost</t>
  </si>
  <si>
    <t>Vercel → Pro threshold (users)</t>
  </si>
  <si>
    <t>Vercel Pro cost</t>
  </si>
  <si>
    <t>Railway → Scale threshold (users)</t>
  </si>
  <si>
    <t>Railway Scale cost</t>
  </si>
  <si>
    <t>Supabase → Team threshold (users)</t>
  </si>
  <si>
    <t>Supabase Team cost</t>
  </si>
  <si>
    <t>G. EXCHANGE RATE</t>
  </si>
  <si>
    <t>IDR per 1 USD</t>
  </si>
  <si>
    <t>IDR/USD</t>
  </si>
  <si>
    <t>Update as needed</t>
  </si>
  <si>
    <t>H. REVENUE GROWTH ASSUMPTIONS</t>
  </si>
  <si>
    <t>Monthly user growth rate (base)</t>
  </si>
  <si>
    <t>%/mo</t>
  </si>
  <si>
    <t>10% MoM user growth in base case</t>
  </si>
  <si>
    <t>Monthly churn rate</t>
  </si>
  <si>
    <t>5% of paid users churn each month</t>
  </si>
  <si>
    <t>Free → Starter conversion rate</t>
  </si>
  <si>
    <t>15% of free users upgrade to Starter</t>
  </si>
  <si>
    <t>Starter → Pro conversion rate</t>
  </si>
  <si>
    <t>20% of Starter users upgrade to Pro</t>
  </si>
  <si>
    <t>Pro → Business conversion rate</t>
  </si>
  <si>
    <t>8% of Pro users upgrade to Business</t>
  </si>
  <si>
    <t>PRICING PLANS — Gajian Aman Subscription Tiers</t>
  </si>
  <si>
    <t>Define price (IDR/mo) and features per tier. Prices feed Revenue Model.</t>
  </si>
  <si>
    <t>FREE</t>
  </si>
  <si>
    <t>STARTER</t>
  </si>
  <si>
    <t>PRO</t>
  </si>
  <si>
    <t>BUSINESS</t>
  </si>
  <si>
    <t>Monthly Price (IDR)</t>
  </si>
  <si>
    <t>Annual Price Equivalent (IDR)</t>
  </si>
  <si>
    <t>Monthly Price (USD equiv.)</t>
  </si>
  <si>
    <t>Telegram bot — text command (/add, /income)</t>
  </si>
  <si>
    <t>✓</t>
  </si>
  <si>
    <t>Telegram bot — natural language free chat</t>
  </si>
  <si>
    <t>✗</t>
  </si>
  <si>
    <t>Receipt image upload (bot)</t>
  </si>
  <si>
    <t>3/mo</t>
  </si>
  <si>
    <t>20/mo</t>
  </si>
  <si>
    <t>Unlimited</t>
  </si>
  <si>
    <t>Receipt image upload (web)</t>
  </si>
  <si>
    <t>10/mo</t>
  </si>
  <si>
    <t>Backdated entry (@DD/MM syntax)</t>
  </si>
  <si>
    <t>Bulk import (CSV)</t>
  </si>
  <si>
    <t>AI auto-categorization (text)</t>
  </si>
  <si>
    <t>AI image parsing (receipt OCR)</t>
  </si>
  <si>
    <t>AI spending insights &amp; tips</t>
  </si>
  <si>
    <t>AI budget recommendations</t>
  </si>
  <si>
    <t>Custom AI category training</t>
  </si>
  <si>
    <t>Web dashboard access</t>
  </si>
  <si>
    <t>Monthly summary (Telegram)</t>
  </si>
  <si>
    <t>Weekly report (Telegram)</t>
  </si>
  <si>
    <t>Spending trends (3 months)</t>
  </si>
  <si>
    <t>Budget tracking</t>
  </si>
  <si>
    <t>Savings goals</t>
  </si>
  <si>
    <t>Custom date range reports</t>
  </si>
  <si>
    <t>Export to CSV/PDF</t>
  </si>
  <si>
    <t>Max transactions per month</t>
  </si>
  <si>
    <t>30</t>
  </si>
  <si>
    <t>200</t>
  </si>
  <si>
    <t>Max budget categories</t>
  </si>
  <si>
    <t>3</t>
  </si>
  <si>
    <t>10</t>
  </si>
  <si>
    <t>Max savings goals</t>
  </si>
  <si>
    <t>1</t>
  </si>
  <si>
    <t>Data history</t>
  </si>
  <si>
    <t>3 months</t>
  </si>
  <si>
    <t>12 months</t>
  </si>
  <si>
    <t>24 months</t>
  </si>
  <si>
    <t>Email / community support</t>
  </si>
  <si>
    <t>Priority support</t>
  </si>
  <si>
    <t>Dedicated support + SLA</t>
  </si>
  <si>
    <t>Linked family accounts</t>
  </si>
  <si>
    <t>Up to 5</t>
  </si>
  <si>
    <t>Shared budget dashboard</t>
  </si>
  <si>
    <t>AI COST — Claude Haiku API Consumption</t>
  </si>
  <si>
    <t>USD and IDR for every cost row. Change inputs in Assumptions sheet.</t>
  </si>
  <si>
    <t>Metric</t>
  </si>
  <si>
    <t>10
users</t>
  </si>
  <si>
    <t>50
users</t>
  </si>
  <si>
    <t>100
users</t>
  </si>
  <si>
    <t>200
users</t>
  </si>
  <si>
    <t>500
users</t>
  </si>
  <si>
    <t>1,000
users</t>
  </si>
  <si>
    <t>2,000
users</t>
  </si>
  <si>
    <t>5,000
users</t>
  </si>
  <si>
    <t>10,000
users</t>
  </si>
  <si>
    <t>Unit</t>
  </si>
  <si>
    <t>A. MONTHLY ACTIVITY VOLUME</t>
  </si>
  <si>
    <t>Daily Active Users (bot)</t>
  </si>
  <si>
    <t>users/day</t>
  </si>
  <si>
    <t>Text transactions / month</t>
  </si>
  <si>
    <t>tx/mo</t>
  </si>
  <si>
    <t>Image tx / month (bot)</t>
  </si>
  <si>
    <t>img/mo</t>
  </si>
  <si>
    <t>Web MAU</t>
  </si>
  <si>
    <t>users/mo</t>
  </si>
  <si>
    <t>Image uploads / month (web)</t>
  </si>
  <si>
    <t>B. TOKEN CONSUMPTION / MONTH</t>
  </si>
  <si>
    <t>Text categ. — input tokens</t>
  </si>
  <si>
    <t>tokens/mo</t>
  </si>
  <si>
    <t>Text categ. — output tokens</t>
  </si>
  <si>
    <t>Image bot — input tokens</t>
  </si>
  <si>
    <t>Image bot — output tokens</t>
  </si>
  <si>
    <t>Image web — input tokens</t>
  </si>
  <si>
    <t>Image web — output tokens</t>
  </si>
  <si>
    <t>TOTAL Input tokens</t>
  </si>
  <si>
    <t>TOTAL Output tokens</t>
  </si>
  <si>
    <t>C. AI COST — USD</t>
  </si>
  <si>
    <t>Input token cost (USD)</t>
  </si>
  <si>
    <t>Output token cost (USD)</t>
  </si>
  <si>
    <t>TOTAL AI Cost (USD/mo)</t>
  </si>
  <si>
    <t>AI Cost per User (USD/mo)</t>
  </si>
  <si>
    <t>USD/user</t>
  </si>
  <si>
    <t>D. AI COST — IDR</t>
  </si>
  <si>
    <t>TOTAL AI Cost (IDR/mo)</t>
  </si>
  <si>
    <t>IDR/mo</t>
  </si>
  <si>
    <t>AI Cost per User (IDR/mo)</t>
  </si>
  <si>
    <t>IDR/user</t>
  </si>
  <si>
    <t>E. NLP MODE — Full Natural Language Bot (scenario)</t>
  </si>
  <si>
    <t>Replaces command mode (/add → free chat). Tokens increase ~43% per text call.</t>
  </si>
  <si>
    <t>NLP input tokens / month</t>
  </si>
  <si>
    <t>NLP output tokens / month</t>
  </si>
  <si>
    <t>TOTAL AI Cost NLP (USD/mo)</t>
  </si>
  <si>
    <t>TOTAL AI Cost NLP (IDR/mo)</t>
  </si>
  <si>
    <t>Delta vs command mode (IDR/mo)</t>
  </si>
  <si>
    <t>INFRASTRUCTURE COST — Tier-based Scaling</t>
  </si>
  <si>
    <t>Auto-switches tier at defined user thresholds. Both USD and IDR shown.</t>
  </si>
  <si>
    <t>Service</t>
  </si>
  <si>
    <t>Note</t>
  </si>
  <si>
    <t>USD COSTS</t>
  </si>
  <si>
    <t>Railway (bot + scheduler) USD</t>
  </si>
  <si>
    <t>$5→$10 at 200+ users</t>
  </si>
  <si>
    <t>Supabase (database) USD</t>
  </si>
  <si>
    <t>Free→$25(Pro)→$599(Team)</t>
  </si>
  <si>
    <t>Vercel (frontend + serverless) USD</t>
  </si>
  <si>
    <t>Free→$20 at 500+ users</t>
  </si>
  <si>
    <t>Claude Pro license USD</t>
  </si>
  <si>
    <t>Fixed — personal license</t>
  </si>
  <si>
    <t>TOTAL Infrastructure (USD/mo)</t>
  </si>
  <si>
    <t>IDR EQUIVALENT</t>
  </si>
  <si>
    <t>Railway IDR</t>
  </si>
  <si>
    <t>Supabase IDR</t>
  </si>
  <si>
    <t>Vercel IDR</t>
  </si>
  <si>
    <t>Claude Pro IDR</t>
  </si>
  <si>
    <t>TOTAL Infrastructure (IDR/mo)</t>
  </si>
  <si>
    <t>TIER REFERENCE</t>
  </si>
  <si>
    <t>Railway tier</t>
  </si>
  <si>
    <t>Supabase tier</t>
  </si>
  <si>
    <t>Vercel tier</t>
  </si>
  <si>
    <t>REVENUE MODEL — Subscription MRR by User Count</t>
  </si>
  <si>
    <t>Plan mix % and prices from Pricing Plans sheet. Edit mix % in blue rows.</t>
  </si>
  <si>
    <t>A. USER MIX BY PLAN (editable — must sum to 100%)</t>
  </si>
  <si>
    <t>% Free users</t>
  </si>
  <si>
    <t>% Starter users</t>
  </si>
  <si>
    <t>% Pro users</t>
  </si>
  <si>
    <t>% Business users</t>
  </si>
  <si>
    <t>Sum (must = 100%)</t>
  </si>
  <si>
    <t>B. USER COUNT BY PLAN</t>
  </si>
  <si>
    <t>Free users</t>
  </si>
  <si>
    <t>Starter users</t>
  </si>
  <si>
    <t>Pro users</t>
  </si>
  <si>
    <t>Business users</t>
  </si>
  <si>
    <t>TOTAL Paid users</t>
  </si>
  <si>
    <t>C. PLAN PRICES (from Pricing Plans sheet)</t>
  </si>
  <si>
    <t>Free price (IDR/mo)</t>
  </si>
  <si>
    <t>Starter price (IDR/mo)</t>
  </si>
  <si>
    <t>Pro price (IDR/mo)</t>
  </si>
  <si>
    <t>Business price (IDR/mo)</t>
  </si>
  <si>
    <t>D. MONTHLY RECURRING REVENUE (MRR)</t>
  </si>
  <si>
    <t>MRR — Starter (IDR)</t>
  </si>
  <si>
    <t>MRR — Pro (IDR)</t>
  </si>
  <si>
    <t>MRR — Business (IDR)</t>
  </si>
  <si>
    <t>TOTAL MRR (IDR/mo)</t>
  </si>
  <si>
    <t>ARR (IDR/yr)</t>
  </si>
  <si>
    <t>IDR/yr</t>
  </si>
  <si>
    <t>E. REVENUE IN USD EQUIVALENT</t>
  </si>
  <si>
    <t>TOTAL MRR (USD/mo)</t>
  </si>
  <si>
    <t>ARR (USD/yr)</t>
  </si>
  <si>
    <t>USD/yr</t>
  </si>
  <si>
    <t>F. UNIT ECONOMICS</t>
  </si>
  <si>
    <t>ARPU — all users (IDR/mo)</t>
  </si>
  <si>
    <t>ARPU — paid users only (IDR/mo)</t>
  </si>
  <si>
    <t>IDR/paid user</t>
  </si>
  <si>
    <t>P&amp;L SUMMARY — Revenue vs Cost vs Profit</t>
  </si>
  <si>
    <t>All in IDR. Green = profit. Orange = loss. Cross-linked from Revenue, AI Cost, Infra Cost.</t>
  </si>
  <si>
    <t>Line Item</t>
  </si>
  <si>
    <t>REVENUE</t>
  </si>
  <si>
    <t>Total MRR (IDR/mo)</t>
  </si>
  <si>
    <t>COSTS</t>
  </si>
  <si>
    <t>AI Cost — Claude Haiku (IDR/mo)</t>
  </si>
  <si>
    <t>Infrastructure (IDR/mo)</t>
  </si>
  <si>
    <t>TOTAL COST (IDR/mo)</t>
  </si>
  <si>
    <t>PROFIT / LOSS</t>
  </si>
  <si>
    <t>GROSS PROFIT (IDR/mo)</t>
  </si>
  <si>
    <t>Gross Margin %</t>
  </si>
  <si>
    <t>Cost per User (IDR/mo)</t>
  </si>
  <si>
    <t>Revenue per User (IDR/mo)</t>
  </si>
  <si>
    <t>Profit per User (IDR/mo)</t>
  </si>
  <si>
    <t>USD EQUIVALENT</t>
  </si>
  <si>
    <t>Revenue (USD/mo)</t>
  </si>
  <si>
    <t>Total Cost (USD/mo)</t>
  </si>
  <si>
    <t>Gross Profit (USD/mo)</t>
  </si>
  <si>
    <t>BREAKEVEN ANALYSIS</t>
  </si>
  <si>
    <t>Breakeven status</t>
  </si>
  <si>
    <t>Min paid users to break even</t>
  </si>
  <si>
    <t>Starter-equiv users needed</t>
  </si>
  <si>
    <t>KEY INSIGHTS</t>
  </si>
  <si>
    <t>• At 100 users (base mix 60/25/12/3%): MRR ≈ Rp 600,000 — covers infra but not enough margin yet.</t>
  </si>
  <si>
    <t>• At 500 users: MRR ≈ Rp 3,000,000. Vercel Pro kicks in. AI cost still negligible (&lt;1% of cost).</t>
  </si>
  <si>
    <t>• Supabase Team ($599/mo = Rp 9.6M) hits at 1,000 users — revenue must be &gt;Rp 10M to sustain.</t>
  </si>
  <si>
    <t>• At 2,000 users: First meaningful profitability if plan mix holds and churn is controlled.</t>
  </si>
  <si>
    <t>• AI cost never exceeds 5% of total cost at any scale — infra (esp. Supabase) dominates.</t>
  </si>
  <si>
    <t>• NLP mode adds ~Rp 200-2,000/mo at 100-1,000 users — negligible. Worth the UX improvement.</t>
  </si>
  <si>
    <t>• Suggested min pricing: Starter Rp 9,000 / Pro Rp 29,000 / Business Rp 79,000 per month.</t>
  </si>
  <si>
    <t>SCENARIO MODEL — Conservative / Base / Growth</t>
  </si>
  <si>
    <t>Multiplier applied to user activity. Change multipliers in row 6 (blue). Plan mix unchanged.</t>
  </si>
  <si>
    <t>Conservative</t>
  </si>
  <si>
    <t>Base Case</t>
  </si>
  <si>
    <t>Growth</t>
  </si>
  <si>
    <t>100 users</t>
  </si>
  <si>
    <t>500 users</t>
  </si>
  <si>
    <t>1,000 users</t>
  </si>
  <si>
    <t>Activity multiplier (vs base assumptions)</t>
  </si>
  <si>
    <t>AI Cost (IDR/mo)</t>
  </si>
  <si>
    <t>Revenue MRR (IDR/mo)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</si>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</sst>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\$#,##0.00;&quot;($&quot;#,##0.00\);\-"/>
    <numFmt numFmtId="166" formatCode="\$#,##0.0000;&quot;($&quot;#,##0.0000\);\-"/>
    <numFmt numFmtId="167" formatCode="0.0%;\(0.0%\);\-"/>
    <numFmt numFmtId="168" formatCode="0.0\x"/>
  </numFmts>
  <fonts count="24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5F"/>
      <name val="Arial"/>
      <family val="2"/>
    </font>
    <font>
      <sz val="10"/>
      <color rgb="FF000000"/>
      <name val="Arial"/>
      <family val="2"/>
    </font>
    <font>
      <b/>
      <sz val="10"/>
      <color rgb="FF2E6DA4"/>
      <name val="Arial"/>
      <family val="2"/>
    </font>
    <font>
      <sz val="9"/>
      <color rgb="FF000000"/>
      <name val="Arial"/>
      <family val="2"/>
    </font>
    <font>
      <b/>
      <sz val="9"/>
      <color rgb="FF1E3A5F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555555"/>
      <name val="Arial"/>
      <family val="2"/>
    </font>
    <font>
      <i/>
      <sz val="8"/>
      <color rgb="FF777777"/>
      <name val="Arial"/>
      <family val="2"/>
    </font>
    <font>
      <i/>
      <sz val="8"/>
      <color rgb="FF856404"/>
      <name val="Arial"/>
      <family val="2"/>
    </font>
    <font>
      <b/>
      <sz val="11"/>
      <color rgb="FFFFFFFF"/>
      <name val="Arial"/>
      <family val="2"/>
    </font>
    <font>
      <b/>
      <sz val="11"/>
      <color rgb="FF0000FF"/>
      <name val="Arial"/>
      <family val="2"/>
    </font>
    <font>
      <b/>
      <sz val="8"/>
      <color rgb="FF1E3A5F"/>
      <name val="Arial"/>
      <family val="2"/>
    </font>
    <font>
      <b/>
      <sz val="10"/>
      <color rgb="FF375623"/>
      <name val="Arial"/>
      <family val="2"/>
    </font>
    <font>
      <sz val="10"/>
      <color rgb="FFAAAAAA"/>
      <name val="Arial"/>
      <family val="2"/>
    </font>
    <font>
      <b/>
      <sz val="9"/>
      <color rgb="FF000000"/>
      <name val="Arial"/>
      <family val="2"/>
    </font>
    <font>
      <b/>
      <sz val="9"/>
      <color rgb="FF008000"/>
      <name val="Arial"/>
      <family val="2"/>
    </font>
    <font>
      <i/>
      <sz val="9"/>
      <color rgb="FF000000"/>
      <name val="Arial"/>
      <family val="2"/>
    </font>
    <font>
      <b/>
      <sz val="10"/>
      <color rgb="FF0000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375623"/>
      </patternFill>
    </fill>
    <fill>
      <patternFill patternType="solid">
        <fgColor rgb="FF2E6DA4"/>
        <bgColor rgb="FF1A7A6E"/>
      </patternFill>
    </fill>
    <fill>
      <patternFill patternType="solid">
        <fgColor rgb="FF1A7A6E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BDD7EE"/>
        <bgColor rgb="FFD0D0D0"/>
      </patternFill>
    </fill>
    <fill>
      <patternFill patternType="solid">
        <fgColor rgb="FFD0EDE9"/>
        <bgColor rgb="FFD6E4F0"/>
      </patternFill>
    </fill>
    <fill>
      <patternFill patternType="solid">
        <fgColor rgb="FFFFF3CD"/>
        <bgColor rgb="FFFCE4D6"/>
      </patternFill>
    </fill>
    <fill>
      <patternFill patternType="solid">
        <fgColor rgb="FF888888"/>
        <bgColor rgb="FF777777"/>
      </patternFill>
    </fill>
    <fill>
      <patternFill patternType="solid">
        <fgColor rgb="FF70AD47"/>
        <bgColor rgb="FF888888"/>
      </patternFill>
    </fill>
    <fill>
      <patternFill patternType="solid">
        <fgColor rgb="FF6B3FA0"/>
        <bgColor rgb="FF555555"/>
      </patternFill>
    </fill>
    <fill>
      <patternFill patternType="solid">
        <fgColor rgb="FFD6E4F0"/>
        <bgColor rgb="FFD0EDE9"/>
      </patternFill>
    </fill>
    <fill>
      <patternFill patternType="solid">
        <fgColor rgb="FFE2EFDA"/>
        <bgColor rgb="FFD0EDE9"/>
      </patternFill>
    </fill>
    <fill>
      <patternFill patternType="solid">
        <fgColor rgb="FFEDE0FF"/>
        <bgColor rgb="FFD6E4F0"/>
      </patternFill>
    </fill>
    <fill>
      <patternFill patternType="solid">
        <fgColor rgb="FFFCE4D6"/>
        <bgColor rgb="FFFFF3CD"/>
      </patternFill>
    </fill>
    <fill>
      <patternFill patternType="solid">
        <fgColor rgb="FFE06C37"/>
        <bgColor rgb="FFFF8080"/>
      </patternFill>
    </fill>
    <fill>
      <patternFill patternType="solid">
        <fgColor rgb="FFD0D0D0"/>
        <bgColor rgb="FFBDD7EE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1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10" borderId="0" xfId="0" applyFont="1" applyFill="1"/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/>
    <xf numFmtId="0" fontId="9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6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6" fillId="5" borderId="1" xfId="0" applyFont="1" applyFill="1" applyBorder="1"/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7" fillId="14" borderId="1" xfId="0" applyFont="1" applyFill="1" applyBorder="1"/>
    <xf numFmtId="0" fontId="18" fillId="5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right"/>
    </xf>
    <xf numFmtId="0" fontId="20" fillId="8" borderId="1" xfId="0" applyFont="1" applyFill="1" applyBorder="1"/>
    <xf numFmtId="164" fontId="20" fillId="8" borderId="1" xfId="0" applyNumberFormat="1" applyFont="1" applyFill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165" fontId="20" fillId="8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20" fillId="9" borderId="1" xfId="0" applyFont="1" applyFill="1" applyBorder="1"/>
    <xf numFmtId="164" fontId="21" fillId="9" borderId="1" xfId="0" applyNumberFormat="1" applyFont="1" applyFill="1" applyBorder="1" applyAlignment="1">
      <alignment horizontal="right"/>
    </xf>
    <xf numFmtId="164" fontId="9" fillId="9" borderId="1" xfId="0" applyNumberFormat="1" applyFont="1" applyFill="1" applyBorder="1" applyAlignment="1">
      <alignment horizontal="right"/>
    </xf>
    <xf numFmtId="165" fontId="21" fillId="8" borderId="1" xfId="0" applyNumberFormat="1" applyFont="1" applyFill="1" applyBorder="1" applyAlignment="1">
      <alignment horizontal="right"/>
    </xf>
    <xf numFmtId="0" fontId="6" fillId="17" borderId="1" xfId="0" applyFont="1" applyFill="1" applyBorder="1"/>
    <xf numFmtId="164" fontId="6" fillId="17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167" fontId="8" fillId="6" borderId="1" xfId="0" applyNumberFormat="1" applyFont="1" applyFill="1" applyBorder="1" applyAlignment="1">
      <alignment horizontal="right"/>
    </xf>
    <xf numFmtId="0" fontId="22" fillId="0" borderId="1" xfId="0" applyFont="1" applyBorder="1"/>
    <xf numFmtId="167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9" borderId="1" xfId="0" applyNumberFormat="1" applyFont="1" applyFill="1" applyBorder="1" applyAlignment="1">
      <alignment horizontal="right"/>
    </xf>
    <xf numFmtId="164" fontId="20" fillId="9" borderId="1" xfId="0" applyNumberFormat="1" applyFont="1" applyFill="1" applyBorder="1" applyAlignment="1">
      <alignment horizontal="right"/>
    </xf>
    <xf numFmtId="165" fontId="21" fillId="9" borderId="1" xfId="0" applyNumberFormat="1" applyFont="1" applyFill="1" applyBorder="1" applyAlignment="1">
      <alignment horizontal="right"/>
    </xf>
    <xf numFmtId="165" fontId="9" fillId="9" borderId="1" xfId="0" applyNumberFormat="1" applyFont="1" applyFill="1" applyBorder="1" applyAlignment="1">
      <alignment horizontal="right"/>
    </xf>
    <xf numFmtId="0" fontId="20" fillId="17" borderId="1" xfId="0" applyFont="1" applyFill="1" applyBorder="1"/>
    <xf numFmtId="164" fontId="20" fillId="17" borderId="1" xfId="0" applyNumberFormat="1" applyFont="1" applyFill="1" applyBorder="1" applyAlignment="1">
      <alignment horizontal="right"/>
    </xf>
    <xf numFmtId="167" fontId="6" fillId="17" borderId="1" xfId="0" applyNumberFormat="1" applyFont="1" applyFill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0" fillId="0" borderId="1" xfId="0" applyBorder="1"/>
    <xf numFmtId="0" fontId="0" fillId="19" borderId="0" xfId="0" applyFill="1"/>
    <xf numFmtId="0" fontId="20" fillId="10" borderId="1" xfId="0" applyFont="1" applyFill="1" applyBorder="1"/>
    <xf numFmtId="168" fontId="23" fillId="6" borderId="1" xfId="0" applyNumberFormat="1" applyFont="1" applyFill="1" applyBorder="1" applyAlignment="1">
      <alignment horizontal="center"/>
    </xf>
    <xf numFmtId="0" fontId="20" fillId="0" borderId="1" xfId="0" applyFont="1" applyBorder="1"/>
    <xf numFmtId="0" fontId="2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1A7A6E"/>
      <rgbColor rgb="FFD0D0D0"/>
      <rgbColor rgb="FF888888"/>
      <rgbColor rgb="FF9999FF"/>
      <rgbColor rgb="FF993366"/>
      <rgbColor rgb="FFFFF3CD"/>
      <rgbColor rgb="FFD0EDE9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EDE0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06C37"/>
      <rgbColor rgb="FF777777"/>
      <rgbColor rgb="FFAAAAAA"/>
      <rgbColor rgb="FF1E3A5F"/>
      <rgbColor rgb="FF70AD47"/>
      <rgbColor rgb="FF003300"/>
      <rgbColor rgb="FF555555"/>
      <rgbColor rgb="FF993300"/>
      <rgbColor rgb="FF993366"/>
      <rgbColor rgb="FF6B3FA0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opLeftCell="A3" zoomScaleNormal="100" workbookViewId="0">
      <selection activeCell="C13" sqref="C13"/>
    </sheetView>
  </sheetViews>
  <sheetFormatPr defaultColWidth="8.6328125" defaultRowHeight="14.5" x14ac:dyDescent="0.35"/>
  <cols>
    <col min="1" max="1" width="3" customWidth="1"/>
    <col min="2" max="2" width="55" customWidth="1"/>
    <col min="3" max="3" width="38" customWidth="1"/>
    <col min="4" max="4" width="15" customWidth="1"/>
  </cols>
  <sheetData>
    <row r="2" spans="2:3" ht="18.5" customHeight="1" x14ac:dyDescent="0.35">
      <c r="B2" s="14" t="s">
        <v>0</v>
      </c>
      <c r="C2" s="14"/>
    </row>
    <row r="3" spans="2:3" ht="15" customHeight="1" x14ac:dyDescent="0.35">
      <c r="B3" s="13" t="s">
        <v>1</v>
      </c>
      <c r="C3" s="13"/>
    </row>
    <row r="5" spans="2:3" ht="15" customHeight="1" x14ac:dyDescent="0.35">
      <c r="B5" s="15" t="s">
        <v>2</v>
      </c>
      <c r="C5" s="16" t="s">
        <v>3</v>
      </c>
    </row>
    <row r="6" spans="2:3" ht="15" customHeight="1" x14ac:dyDescent="0.35">
      <c r="B6" s="15" t="s">
        <v>4</v>
      </c>
      <c r="C6" s="16" t="s">
        <v>5</v>
      </c>
    </row>
    <row r="7" spans="2:3" ht="15" customHeight="1" x14ac:dyDescent="0.35">
      <c r="B7" s="15" t="s">
        <v>6</v>
      </c>
      <c r="C7" s="16" t="s">
        <v>7</v>
      </c>
    </row>
    <row r="8" spans="2:3" ht="15" customHeight="1" x14ac:dyDescent="0.35">
      <c r="B8" s="15" t="s">
        <v>8</v>
      </c>
      <c r="C8" s="16" t="s">
        <v>9</v>
      </c>
    </row>
    <row r="9" spans="2:3" ht="15" customHeight="1" x14ac:dyDescent="0.35">
      <c r="B9" s="15" t="s">
        <v>10</v>
      </c>
      <c r="C9" s="16" t="s">
        <v>11</v>
      </c>
    </row>
    <row r="11" spans="2:3" ht="4.5" customHeight="1" x14ac:dyDescent="0.35"/>
    <row r="12" spans="2:3" ht="15" customHeight="1" x14ac:dyDescent="0.35">
      <c r="B12" s="12" t="s">
        <v>12</v>
      </c>
      <c r="C12" s="12"/>
    </row>
    <row r="13" spans="2:3" ht="15" customHeight="1" x14ac:dyDescent="0.35">
      <c r="B13" s="17" t="s">
        <v>13</v>
      </c>
      <c r="C13" s="18" t="s">
        <v>14</v>
      </c>
    </row>
    <row r="14" spans="2:3" ht="15" customHeight="1" x14ac:dyDescent="0.35">
      <c r="B14" s="17" t="s">
        <v>15</v>
      </c>
      <c r="C14" s="18" t="s">
        <v>16</v>
      </c>
    </row>
    <row r="15" spans="2:3" ht="15" customHeight="1" x14ac:dyDescent="0.35">
      <c r="B15" s="17" t="s">
        <v>17</v>
      </c>
      <c r="C15" s="18" t="s">
        <v>18</v>
      </c>
    </row>
    <row r="16" spans="2:3" ht="15" customHeight="1" x14ac:dyDescent="0.35">
      <c r="B16" s="17" t="s">
        <v>19</v>
      </c>
      <c r="C16" s="18" t="s">
        <v>20</v>
      </c>
    </row>
    <row r="17" spans="2:3" ht="15" customHeight="1" x14ac:dyDescent="0.35">
      <c r="B17" s="17" t="s">
        <v>21</v>
      </c>
      <c r="C17" s="18" t="s">
        <v>22</v>
      </c>
    </row>
    <row r="18" spans="2:3" ht="15" customHeight="1" x14ac:dyDescent="0.35">
      <c r="B18" s="17" t="s">
        <v>23</v>
      </c>
      <c r="C18" s="18" t="s">
        <v>24</v>
      </c>
    </row>
    <row r="19" spans="2:3" ht="15" customHeight="1" x14ac:dyDescent="0.35">
      <c r="B19" s="17" t="s">
        <v>25</v>
      </c>
      <c r="C19" s="18" t="s">
        <v>26</v>
      </c>
    </row>
    <row r="22" spans="2:3" ht="15" customHeight="1" x14ac:dyDescent="0.35">
      <c r="B22" s="11" t="s">
        <v>27</v>
      </c>
      <c r="C22" s="11"/>
    </row>
    <row r="23" spans="2:3" ht="13.5" customHeight="1" x14ac:dyDescent="0.35">
      <c r="B23" s="20" t="s">
        <v>28</v>
      </c>
    </row>
    <row r="24" spans="2:3" ht="13.5" customHeight="1" x14ac:dyDescent="0.35">
      <c r="B24" s="21" t="s">
        <v>29</v>
      </c>
    </row>
    <row r="25" spans="2:3" ht="13.5" customHeight="1" x14ac:dyDescent="0.35">
      <c r="B25" s="22" t="s">
        <v>30</v>
      </c>
    </row>
    <row r="26" spans="2:3" ht="13.5" customHeight="1" x14ac:dyDescent="0.35">
      <c r="B26" s="23" t="s">
        <v>31</v>
      </c>
    </row>
  </sheetData>
  <mergeCells count="4">
    <mergeCell ref="B2:C2"/>
    <mergeCell ref="B3:C3"/>
    <mergeCell ref="B12:C12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4"/>
  <sheetViews>
    <sheetView showGridLines="0" topLeftCell="A41" zoomScaleNormal="100" workbookViewId="0">
      <selection activeCell="C60" sqref="C60"/>
    </sheetView>
  </sheetViews>
  <sheetFormatPr defaultColWidth="8.6328125" defaultRowHeight="14.5" x14ac:dyDescent="0.35"/>
  <cols>
    <col min="1" max="1" width="3" customWidth="1"/>
    <col min="2" max="2" width="40" customWidth="1"/>
    <col min="3" max="3" width="18" customWidth="1"/>
    <col min="4" max="4" width="16" customWidth="1"/>
    <col min="5" max="5" width="40" customWidth="1"/>
  </cols>
  <sheetData>
    <row r="1" spans="2:5" ht="16.149999999999999" customHeight="1" x14ac:dyDescent="0.35">
      <c r="B1" s="10" t="s">
        <v>32</v>
      </c>
      <c r="C1" s="10"/>
      <c r="D1" s="10"/>
      <c r="E1" s="10"/>
    </row>
    <row r="2" spans="2:5" ht="15" customHeight="1" x14ac:dyDescent="0.35">
      <c r="B2" s="9" t="s">
        <v>33</v>
      </c>
      <c r="C2" s="9"/>
      <c r="D2" s="9"/>
      <c r="E2" s="9"/>
    </row>
    <row r="4" spans="2:5" ht="15" customHeight="1" x14ac:dyDescent="0.35">
      <c r="B4" s="8" t="s">
        <v>34</v>
      </c>
      <c r="C4" s="8"/>
      <c r="D4" s="8"/>
      <c r="E4" s="8"/>
    </row>
    <row r="5" spans="2:5" ht="13.5" customHeight="1" x14ac:dyDescent="0.35">
      <c r="B5" s="24" t="s">
        <v>35</v>
      </c>
      <c r="C5" s="25">
        <v>0.4</v>
      </c>
      <c r="D5" s="26" t="s">
        <v>36</v>
      </c>
      <c r="E5" s="27" t="s">
        <v>37</v>
      </c>
    </row>
    <row r="6" spans="2:5" ht="13.5" customHeight="1" x14ac:dyDescent="0.35">
      <c r="B6" s="28" t="s">
        <v>38</v>
      </c>
      <c r="C6" s="25">
        <v>7</v>
      </c>
      <c r="D6" s="26" t="s">
        <v>39</v>
      </c>
      <c r="E6" s="27" t="s">
        <v>40</v>
      </c>
    </row>
    <row r="7" spans="2:5" ht="13.5" customHeight="1" x14ac:dyDescent="0.35">
      <c r="B7" s="28" t="s">
        <v>41</v>
      </c>
      <c r="C7" s="25">
        <v>1</v>
      </c>
      <c r="D7" s="26" t="s">
        <v>42</v>
      </c>
      <c r="E7" s="27" t="s">
        <v>43</v>
      </c>
    </row>
    <row r="8" spans="2:5" ht="13.5" customHeight="1" x14ac:dyDescent="0.35">
      <c r="B8" s="28" t="s">
        <v>44</v>
      </c>
      <c r="C8" s="25">
        <v>30</v>
      </c>
      <c r="D8" s="26" t="s">
        <v>45</v>
      </c>
      <c r="E8" s="27"/>
    </row>
    <row r="10" spans="2:5" ht="15" customHeight="1" x14ac:dyDescent="0.35">
      <c r="B10" s="8" t="s">
        <v>46</v>
      </c>
      <c r="C10" s="8"/>
      <c r="D10" s="8"/>
      <c r="E10" s="8"/>
    </row>
    <row r="11" spans="2:5" ht="13.5" customHeight="1" x14ac:dyDescent="0.35">
      <c r="B11" s="24" t="s">
        <v>47</v>
      </c>
      <c r="C11" s="25">
        <v>75</v>
      </c>
      <c r="D11" s="26" t="s">
        <v>36</v>
      </c>
      <c r="E11" s="27" t="s">
        <v>48</v>
      </c>
    </row>
    <row r="12" spans="2:5" ht="13.5" customHeight="1" x14ac:dyDescent="0.35">
      <c r="B12" s="28" t="s">
        <v>49</v>
      </c>
      <c r="C12" s="25">
        <v>8</v>
      </c>
      <c r="D12" s="26" t="s">
        <v>50</v>
      </c>
      <c r="E12" s="27"/>
    </row>
    <row r="13" spans="2:5" ht="13.5" customHeight="1" x14ac:dyDescent="0.35">
      <c r="B13" s="28" t="s">
        <v>51</v>
      </c>
      <c r="C13" s="25">
        <v>3</v>
      </c>
      <c r="D13" s="26" t="s">
        <v>52</v>
      </c>
      <c r="E13" s="27"/>
    </row>
    <row r="15" spans="2:5" ht="15" customHeight="1" x14ac:dyDescent="0.35">
      <c r="B15" s="8" t="s">
        <v>53</v>
      </c>
      <c r="C15" s="8"/>
      <c r="D15" s="8"/>
      <c r="E15" s="8"/>
    </row>
    <row r="16" spans="2:5" ht="13.5" customHeight="1" x14ac:dyDescent="0.35">
      <c r="B16" s="7" t="s">
        <v>54</v>
      </c>
      <c r="C16" s="7"/>
      <c r="D16" s="7"/>
      <c r="E16" s="7"/>
    </row>
    <row r="17" spans="2:5" ht="13.5" customHeight="1" x14ac:dyDescent="0.35">
      <c r="B17" s="24" t="s">
        <v>55</v>
      </c>
      <c r="C17" s="25">
        <v>0.8</v>
      </c>
      <c r="D17" s="26" t="s">
        <v>56</v>
      </c>
      <c r="E17" s="27" t="s">
        <v>57</v>
      </c>
    </row>
    <row r="18" spans="2:5" ht="13.5" customHeight="1" x14ac:dyDescent="0.35">
      <c r="B18" s="24" t="s">
        <v>58</v>
      </c>
      <c r="C18" s="25">
        <v>4</v>
      </c>
      <c r="D18" s="26" t="s">
        <v>56</v>
      </c>
      <c r="E18" s="27" t="s">
        <v>57</v>
      </c>
    </row>
    <row r="20" spans="2:5" ht="15" customHeight="1" x14ac:dyDescent="0.35">
      <c r="B20" s="8" t="s">
        <v>59</v>
      </c>
      <c r="C20" s="8"/>
      <c r="D20" s="8"/>
      <c r="E20" s="8"/>
    </row>
    <row r="21" spans="2:5" ht="13.5" customHeight="1" x14ac:dyDescent="0.35">
      <c r="B21" s="28" t="s">
        <v>60</v>
      </c>
      <c r="C21" s="25">
        <v>350</v>
      </c>
      <c r="D21" s="26" t="s">
        <v>61</v>
      </c>
      <c r="E21" s="27" t="s">
        <v>62</v>
      </c>
    </row>
    <row r="22" spans="2:5" ht="13.5" customHeight="1" x14ac:dyDescent="0.35">
      <c r="B22" s="28" t="s">
        <v>63</v>
      </c>
      <c r="C22" s="25">
        <v>80</v>
      </c>
      <c r="D22" s="26" t="s">
        <v>61</v>
      </c>
      <c r="E22" s="27" t="s">
        <v>64</v>
      </c>
    </row>
    <row r="23" spans="2:5" ht="13.5" customHeight="1" x14ac:dyDescent="0.35">
      <c r="B23" s="28" t="s">
        <v>65</v>
      </c>
      <c r="C23" s="25">
        <v>1800</v>
      </c>
      <c r="D23" s="26" t="s">
        <v>61</v>
      </c>
      <c r="E23" s="27" t="s">
        <v>66</v>
      </c>
    </row>
    <row r="24" spans="2:5" ht="13.5" customHeight="1" x14ac:dyDescent="0.35">
      <c r="B24" s="28" t="s">
        <v>67</v>
      </c>
      <c r="C24" s="25">
        <v>150</v>
      </c>
      <c r="D24" s="26" t="s">
        <v>61</v>
      </c>
      <c r="E24" s="27" t="s">
        <v>68</v>
      </c>
    </row>
    <row r="25" spans="2:5" ht="13.5" customHeight="1" x14ac:dyDescent="0.35">
      <c r="B25" s="28" t="s">
        <v>69</v>
      </c>
      <c r="C25" s="25">
        <v>2000</v>
      </c>
      <c r="D25" s="26" t="s">
        <v>61</v>
      </c>
      <c r="E25" s="27" t="s">
        <v>70</v>
      </c>
    </row>
    <row r="26" spans="2:5" ht="13.5" customHeight="1" x14ac:dyDescent="0.35">
      <c r="B26" s="28" t="s">
        <v>71</v>
      </c>
      <c r="C26" s="25">
        <v>180</v>
      </c>
      <c r="D26" s="26" t="s">
        <v>61</v>
      </c>
      <c r="E26" s="27" t="s">
        <v>72</v>
      </c>
    </row>
    <row r="27" spans="2:5" ht="13.5" customHeight="1" x14ac:dyDescent="0.35">
      <c r="B27" s="24" t="s">
        <v>73</v>
      </c>
      <c r="C27" s="25">
        <v>500</v>
      </c>
      <c r="D27" s="26" t="s">
        <v>61</v>
      </c>
      <c r="E27" s="27" t="s">
        <v>74</v>
      </c>
    </row>
    <row r="28" spans="2:5" ht="13.5" customHeight="1" x14ac:dyDescent="0.35">
      <c r="B28" s="28" t="s">
        <v>75</v>
      </c>
      <c r="C28" s="25">
        <v>150</v>
      </c>
      <c r="D28" s="26" t="s">
        <v>61</v>
      </c>
      <c r="E28" s="27" t="s">
        <v>76</v>
      </c>
    </row>
    <row r="30" spans="2:5" ht="15" customHeight="1" x14ac:dyDescent="0.35">
      <c r="B30" s="8" t="s">
        <v>77</v>
      </c>
      <c r="C30" s="8"/>
      <c r="D30" s="8"/>
      <c r="E30" s="8"/>
    </row>
    <row r="31" spans="2:5" ht="13.5" customHeight="1" x14ac:dyDescent="0.35">
      <c r="B31" s="24" t="s">
        <v>78</v>
      </c>
      <c r="C31" s="25">
        <v>5</v>
      </c>
      <c r="D31" s="26" t="s">
        <v>79</v>
      </c>
      <c r="E31" s="27" t="s">
        <v>80</v>
      </c>
    </row>
    <row r="32" spans="2:5" ht="13.5" customHeight="1" x14ac:dyDescent="0.35">
      <c r="B32" s="28" t="s">
        <v>81</v>
      </c>
      <c r="C32" s="25">
        <v>0</v>
      </c>
      <c r="D32" s="26" t="s">
        <v>79</v>
      </c>
      <c r="E32" s="27" t="s">
        <v>82</v>
      </c>
    </row>
    <row r="33" spans="2:5" ht="13.5" customHeight="1" x14ac:dyDescent="0.35">
      <c r="B33" s="28" t="s">
        <v>83</v>
      </c>
      <c r="C33" s="25">
        <v>0</v>
      </c>
      <c r="D33" s="26" t="s">
        <v>79</v>
      </c>
      <c r="E33" s="27" t="s">
        <v>84</v>
      </c>
    </row>
    <row r="34" spans="2:5" ht="13.5" customHeight="1" x14ac:dyDescent="0.35">
      <c r="B34" s="28" t="s">
        <v>85</v>
      </c>
      <c r="C34" s="25">
        <v>20</v>
      </c>
      <c r="D34" s="26" t="s">
        <v>79</v>
      </c>
      <c r="E34" s="27" t="s">
        <v>86</v>
      </c>
    </row>
    <row r="36" spans="2:5" ht="15" customHeight="1" x14ac:dyDescent="0.35">
      <c r="B36" s="8" t="s">
        <v>87</v>
      </c>
      <c r="C36" s="8"/>
      <c r="D36" s="8"/>
      <c r="E36" s="8"/>
    </row>
    <row r="37" spans="2:5" ht="13.5" customHeight="1" x14ac:dyDescent="0.35">
      <c r="B37" s="28" t="s">
        <v>88</v>
      </c>
      <c r="C37" s="25">
        <v>100</v>
      </c>
      <c r="D37" s="26" t="s">
        <v>89</v>
      </c>
      <c r="E37" s="27"/>
    </row>
    <row r="38" spans="2:5" ht="13.5" customHeight="1" x14ac:dyDescent="0.35">
      <c r="B38" s="28" t="s">
        <v>90</v>
      </c>
      <c r="C38" s="25">
        <v>25</v>
      </c>
      <c r="D38" s="26" t="s">
        <v>79</v>
      </c>
      <c r="E38" s="27"/>
    </row>
    <row r="39" spans="2:5" ht="13.5" customHeight="1" x14ac:dyDescent="0.35">
      <c r="B39" s="28" t="s">
        <v>91</v>
      </c>
      <c r="C39" s="25">
        <v>500</v>
      </c>
      <c r="D39" s="26" t="s">
        <v>89</v>
      </c>
      <c r="E39" s="27"/>
    </row>
    <row r="40" spans="2:5" ht="13.5" customHeight="1" x14ac:dyDescent="0.35">
      <c r="B40" s="28" t="s">
        <v>92</v>
      </c>
      <c r="C40" s="25">
        <v>20</v>
      </c>
      <c r="D40" s="26" t="s">
        <v>79</v>
      </c>
      <c r="E40" s="27"/>
    </row>
    <row r="41" spans="2:5" ht="13.5" customHeight="1" x14ac:dyDescent="0.35">
      <c r="B41" s="28" t="s">
        <v>93</v>
      </c>
      <c r="C41" s="25">
        <v>200</v>
      </c>
      <c r="D41" s="26" t="s">
        <v>89</v>
      </c>
      <c r="E41" s="27"/>
    </row>
    <row r="42" spans="2:5" ht="13.5" customHeight="1" x14ac:dyDescent="0.35">
      <c r="B42" s="28" t="s">
        <v>94</v>
      </c>
      <c r="C42" s="25">
        <v>10</v>
      </c>
      <c r="D42" s="26" t="s">
        <v>79</v>
      </c>
      <c r="E42" s="27"/>
    </row>
    <row r="43" spans="2:5" ht="13.5" customHeight="1" x14ac:dyDescent="0.35">
      <c r="B43" s="28" t="s">
        <v>95</v>
      </c>
      <c r="C43" s="25">
        <v>1000</v>
      </c>
      <c r="D43" s="26" t="s">
        <v>89</v>
      </c>
      <c r="E43" s="27"/>
    </row>
    <row r="44" spans="2:5" ht="13.5" customHeight="1" x14ac:dyDescent="0.35">
      <c r="B44" s="28" t="s">
        <v>96</v>
      </c>
      <c r="C44" s="25">
        <v>599</v>
      </c>
      <c r="D44" s="26" t="s">
        <v>79</v>
      </c>
      <c r="E44" s="27"/>
    </row>
    <row r="46" spans="2:5" ht="15" customHeight="1" x14ac:dyDescent="0.35">
      <c r="B46" s="8" t="s">
        <v>97</v>
      </c>
      <c r="C46" s="8"/>
      <c r="D46" s="8"/>
      <c r="E46" s="8"/>
    </row>
    <row r="47" spans="2:5" ht="13.5" customHeight="1" x14ac:dyDescent="0.35">
      <c r="B47" s="24" t="s">
        <v>98</v>
      </c>
      <c r="C47" s="25">
        <v>17350</v>
      </c>
      <c r="D47" s="26" t="s">
        <v>99</v>
      </c>
      <c r="E47" s="27" t="s">
        <v>100</v>
      </c>
    </row>
    <row r="49" spans="2:5" ht="15" customHeight="1" x14ac:dyDescent="0.35">
      <c r="B49" s="8" t="s">
        <v>101</v>
      </c>
      <c r="C49" s="8"/>
      <c r="D49" s="8"/>
      <c r="E49" s="8"/>
    </row>
    <row r="50" spans="2:5" ht="13.5" customHeight="1" x14ac:dyDescent="0.35">
      <c r="B50" s="24" t="s">
        <v>102</v>
      </c>
      <c r="C50" s="25">
        <v>0.1</v>
      </c>
      <c r="D50" s="26" t="s">
        <v>103</v>
      </c>
      <c r="E50" s="27" t="s">
        <v>104</v>
      </c>
    </row>
    <row r="51" spans="2:5" ht="13.5" customHeight="1" x14ac:dyDescent="0.35">
      <c r="B51" s="28" t="s">
        <v>105</v>
      </c>
      <c r="C51" s="25">
        <v>0.05</v>
      </c>
      <c r="D51" s="26" t="s">
        <v>103</v>
      </c>
      <c r="E51" s="27" t="s">
        <v>106</v>
      </c>
    </row>
    <row r="52" spans="2:5" ht="13.5" customHeight="1" x14ac:dyDescent="0.35">
      <c r="B52" s="28" t="s">
        <v>107</v>
      </c>
      <c r="C52" s="25">
        <v>0.15</v>
      </c>
      <c r="D52" s="26" t="s">
        <v>36</v>
      </c>
      <c r="E52" s="27" t="s">
        <v>108</v>
      </c>
    </row>
    <row r="53" spans="2:5" ht="13.5" customHeight="1" x14ac:dyDescent="0.35">
      <c r="B53" s="28" t="s">
        <v>109</v>
      </c>
      <c r="C53" s="25">
        <v>0.2</v>
      </c>
      <c r="D53" s="26" t="s">
        <v>36</v>
      </c>
      <c r="E53" s="27" t="s">
        <v>110</v>
      </c>
    </row>
    <row r="54" spans="2:5" ht="13.5" customHeight="1" x14ac:dyDescent="0.35">
      <c r="B54" s="28" t="s">
        <v>111</v>
      </c>
      <c r="C54" s="25">
        <v>0.08</v>
      </c>
      <c r="D54" s="26" t="s">
        <v>36</v>
      </c>
      <c r="E54" s="27" t="s">
        <v>112</v>
      </c>
    </row>
  </sheetData>
  <mergeCells count="11">
    <mergeCell ref="B49:E49"/>
    <mergeCell ref="B16:E16"/>
    <mergeCell ref="B20:E20"/>
    <mergeCell ref="B30:E30"/>
    <mergeCell ref="B36:E36"/>
    <mergeCell ref="B46:E46"/>
    <mergeCell ref="B1:E1"/>
    <mergeCell ref="B2:E2"/>
    <mergeCell ref="B4:E4"/>
    <mergeCell ref="B10:E10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2"/>
  <sheetViews>
    <sheetView showGridLines="0" topLeftCell="A20" zoomScaleNormal="100" workbookViewId="0">
      <selection activeCell="F6" sqref="F6"/>
    </sheetView>
  </sheetViews>
  <sheetFormatPr defaultColWidth="8.6328125" defaultRowHeight="14.5" x14ac:dyDescent="0.35"/>
  <cols>
    <col min="1" max="1" width="3" customWidth="1"/>
    <col min="2" max="2" width="38" customWidth="1"/>
    <col min="3" max="6" width="16" customWidth="1"/>
  </cols>
  <sheetData>
    <row r="1" spans="2:6" ht="16.149999999999999" customHeight="1" x14ac:dyDescent="0.35">
      <c r="B1" s="10" t="s">
        <v>113</v>
      </c>
      <c r="C1" s="10"/>
      <c r="D1" s="10"/>
      <c r="E1" s="10"/>
      <c r="F1" s="10"/>
    </row>
    <row r="2" spans="2:6" ht="15" customHeight="1" x14ac:dyDescent="0.35">
      <c r="B2" s="9" t="s">
        <v>114</v>
      </c>
      <c r="C2" s="9"/>
      <c r="D2" s="9"/>
      <c r="E2" s="9"/>
      <c r="F2" s="9"/>
    </row>
    <row r="4" spans="2:6" x14ac:dyDescent="0.35">
      <c r="C4" s="29" t="s">
        <v>115</v>
      </c>
      <c r="D4" s="30" t="s">
        <v>116</v>
      </c>
      <c r="E4" s="31" t="s">
        <v>117</v>
      </c>
      <c r="F4" s="32" t="s">
        <v>118</v>
      </c>
    </row>
    <row r="5" spans="2:6" ht="18" customHeight="1" x14ac:dyDescent="0.35">
      <c r="B5" s="19" t="s">
        <v>119</v>
      </c>
      <c r="C5" s="33">
        <v>0</v>
      </c>
      <c r="D5" s="33">
        <v>9999</v>
      </c>
      <c r="E5" s="33">
        <v>24999</v>
      </c>
      <c r="F5" s="33">
        <v>34999</v>
      </c>
    </row>
    <row r="6" spans="2:6" x14ac:dyDescent="0.35">
      <c r="B6" s="19" t="s">
        <v>120</v>
      </c>
      <c r="C6" s="34">
        <f>C5*12</f>
        <v>0</v>
      </c>
      <c r="D6" s="34">
        <f>D5*12</f>
        <v>119988</v>
      </c>
      <c r="E6" s="34">
        <f>E5*12</f>
        <v>299988</v>
      </c>
      <c r="F6" s="34">
        <f>F5*12</f>
        <v>419988</v>
      </c>
    </row>
    <row r="7" spans="2:6" x14ac:dyDescent="0.35">
      <c r="B7" s="19" t="s">
        <v>121</v>
      </c>
      <c r="C7" s="35">
        <f>C5/Assumptions!C47</f>
        <v>0</v>
      </c>
      <c r="D7" s="35">
        <f>D5/Assumptions!C47</f>
        <v>0.57631123919308358</v>
      </c>
      <c r="E7" s="35">
        <f>E5/Assumptions!C47</f>
        <v>1.4408645533141211</v>
      </c>
      <c r="F7" s="35">
        <f>F5/Assumptions!C47</f>
        <v>2.0172334293948126</v>
      </c>
    </row>
    <row r="8" spans="2:6" ht="7.5" customHeight="1" x14ac:dyDescent="0.35"/>
    <row r="9" spans="2:6" ht="13.5" customHeight="1" x14ac:dyDescent="0.35">
      <c r="C9" s="36"/>
      <c r="D9" s="36"/>
      <c r="E9" s="36"/>
      <c r="F9" s="36"/>
    </row>
    <row r="10" spans="2:6" ht="13.5" customHeight="1" x14ac:dyDescent="0.35">
      <c r="B10" s="18" t="s">
        <v>122</v>
      </c>
      <c r="C10" s="37" t="s">
        <v>123</v>
      </c>
      <c r="D10" s="38" t="s">
        <v>123</v>
      </c>
      <c r="E10" s="39" t="s">
        <v>123</v>
      </c>
      <c r="F10" s="40" t="s">
        <v>123</v>
      </c>
    </row>
    <row r="11" spans="2:6" ht="13.5" customHeight="1" x14ac:dyDescent="0.35">
      <c r="B11" s="18" t="s">
        <v>124</v>
      </c>
      <c r="C11" s="41" t="s">
        <v>125</v>
      </c>
      <c r="D11" s="38" t="s">
        <v>123</v>
      </c>
      <c r="E11" s="39" t="s">
        <v>123</v>
      </c>
      <c r="F11" s="40" t="s">
        <v>123</v>
      </c>
    </row>
    <row r="12" spans="2:6" ht="13.5" customHeight="1" x14ac:dyDescent="0.35">
      <c r="B12" s="18" t="s">
        <v>126</v>
      </c>
      <c r="C12" s="42" t="s">
        <v>127</v>
      </c>
      <c r="D12" s="43" t="s">
        <v>128</v>
      </c>
      <c r="E12" s="44" t="s">
        <v>129</v>
      </c>
      <c r="F12" s="45" t="s">
        <v>129</v>
      </c>
    </row>
    <row r="13" spans="2:6" ht="13.5" customHeight="1" x14ac:dyDescent="0.35">
      <c r="B13" s="18" t="s">
        <v>130</v>
      </c>
      <c r="C13" s="41" t="s">
        <v>125</v>
      </c>
      <c r="D13" s="43" t="s">
        <v>131</v>
      </c>
      <c r="E13" s="44" t="s">
        <v>129</v>
      </c>
      <c r="F13" s="45" t="s">
        <v>129</v>
      </c>
    </row>
    <row r="14" spans="2:6" ht="13.5" customHeight="1" x14ac:dyDescent="0.35">
      <c r="B14" s="18" t="s">
        <v>132</v>
      </c>
      <c r="C14" s="37" t="s">
        <v>123</v>
      </c>
      <c r="D14" s="38" t="s">
        <v>123</v>
      </c>
      <c r="E14" s="39" t="s">
        <v>123</v>
      </c>
      <c r="F14" s="40" t="s">
        <v>123</v>
      </c>
    </row>
    <row r="15" spans="2:6" ht="13.5" customHeight="1" x14ac:dyDescent="0.35">
      <c r="B15" s="18" t="s">
        <v>133</v>
      </c>
      <c r="C15" s="41" t="s">
        <v>125</v>
      </c>
      <c r="D15" s="46" t="s">
        <v>125</v>
      </c>
      <c r="E15" s="39" t="s">
        <v>123</v>
      </c>
      <c r="F15" s="40" t="s">
        <v>123</v>
      </c>
    </row>
    <row r="16" spans="2:6" ht="13.5" customHeight="1" x14ac:dyDescent="0.35">
      <c r="C16" s="36"/>
      <c r="D16" s="36"/>
      <c r="E16" s="36"/>
      <c r="F16" s="36"/>
    </row>
    <row r="17" spans="2:6" ht="13.5" customHeight="1" x14ac:dyDescent="0.35">
      <c r="B17" s="18" t="s">
        <v>134</v>
      </c>
      <c r="C17" s="37" t="s">
        <v>123</v>
      </c>
      <c r="D17" s="38" t="s">
        <v>123</v>
      </c>
      <c r="E17" s="39" t="s">
        <v>123</v>
      </c>
      <c r="F17" s="40" t="s">
        <v>123</v>
      </c>
    </row>
    <row r="18" spans="2:6" ht="13.5" customHeight="1" x14ac:dyDescent="0.35">
      <c r="B18" s="18" t="s">
        <v>135</v>
      </c>
      <c r="C18" s="42" t="s">
        <v>127</v>
      </c>
      <c r="D18" s="43" t="s">
        <v>128</v>
      </c>
      <c r="E18" s="44" t="s">
        <v>129</v>
      </c>
      <c r="F18" s="45" t="s">
        <v>129</v>
      </c>
    </row>
    <row r="19" spans="2:6" ht="13.5" customHeight="1" x14ac:dyDescent="0.35">
      <c r="B19" s="18" t="s">
        <v>136</v>
      </c>
      <c r="C19" s="41" t="s">
        <v>125</v>
      </c>
      <c r="D19" s="46" t="s">
        <v>125</v>
      </c>
      <c r="E19" s="39" t="s">
        <v>123</v>
      </c>
      <c r="F19" s="40" t="s">
        <v>123</v>
      </c>
    </row>
    <row r="20" spans="2:6" ht="13.5" customHeight="1" x14ac:dyDescent="0.35">
      <c r="B20" s="18" t="s">
        <v>137</v>
      </c>
      <c r="C20" s="41" t="s">
        <v>125</v>
      </c>
      <c r="D20" s="46" t="s">
        <v>125</v>
      </c>
      <c r="E20" s="39" t="s">
        <v>123</v>
      </c>
      <c r="F20" s="40" t="s">
        <v>123</v>
      </c>
    </row>
    <row r="21" spans="2:6" ht="13.5" customHeight="1" x14ac:dyDescent="0.35">
      <c r="B21" s="18" t="s">
        <v>138</v>
      </c>
      <c r="C21" s="41" t="s">
        <v>125</v>
      </c>
      <c r="D21" s="46" t="s">
        <v>125</v>
      </c>
      <c r="E21" s="47" t="s">
        <v>125</v>
      </c>
      <c r="F21" s="40" t="s">
        <v>123</v>
      </c>
    </row>
    <row r="22" spans="2:6" ht="13.5" customHeight="1" x14ac:dyDescent="0.35">
      <c r="C22" s="36"/>
      <c r="D22" s="36"/>
      <c r="E22" s="36"/>
      <c r="F22" s="36"/>
    </row>
    <row r="23" spans="2:6" ht="13.5" customHeight="1" x14ac:dyDescent="0.35">
      <c r="B23" s="18" t="s">
        <v>139</v>
      </c>
      <c r="C23" s="41" t="s">
        <v>125</v>
      </c>
      <c r="D23" s="38" t="s">
        <v>123</v>
      </c>
      <c r="E23" s="39" t="s">
        <v>123</v>
      </c>
      <c r="F23" s="40" t="s">
        <v>123</v>
      </c>
    </row>
    <row r="24" spans="2:6" ht="13.5" customHeight="1" x14ac:dyDescent="0.35">
      <c r="B24" s="18" t="s">
        <v>140</v>
      </c>
      <c r="C24" s="37" t="s">
        <v>123</v>
      </c>
      <c r="D24" s="38" t="s">
        <v>123</v>
      </c>
      <c r="E24" s="39" t="s">
        <v>123</v>
      </c>
      <c r="F24" s="40" t="s">
        <v>123</v>
      </c>
    </row>
    <row r="25" spans="2:6" ht="13.5" customHeight="1" x14ac:dyDescent="0.35">
      <c r="B25" s="18" t="s">
        <v>141</v>
      </c>
      <c r="C25" s="41" t="s">
        <v>125</v>
      </c>
      <c r="D25" s="38" t="s">
        <v>123</v>
      </c>
      <c r="E25" s="39" t="s">
        <v>123</v>
      </c>
      <c r="F25" s="40" t="s">
        <v>123</v>
      </c>
    </row>
    <row r="26" spans="2:6" ht="13.5" customHeight="1" x14ac:dyDescent="0.35">
      <c r="B26" s="18" t="s">
        <v>142</v>
      </c>
      <c r="C26" s="41" t="s">
        <v>125</v>
      </c>
      <c r="D26" s="38" t="s">
        <v>123</v>
      </c>
      <c r="E26" s="39" t="s">
        <v>123</v>
      </c>
      <c r="F26" s="40" t="s">
        <v>123</v>
      </c>
    </row>
    <row r="27" spans="2:6" ht="13.5" customHeight="1" x14ac:dyDescent="0.35">
      <c r="B27" s="18" t="s">
        <v>143</v>
      </c>
      <c r="C27" s="41" t="s">
        <v>125</v>
      </c>
      <c r="D27" s="38" t="s">
        <v>123</v>
      </c>
      <c r="E27" s="39" t="s">
        <v>123</v>
      </c>
      <c r="F27" s="40" t="s">
        <v>123</v>
      </c>
    </row>
    <row r="28" spans="2:6" ht="13.5" customHeight="1" x14ac:dyDescent="0.35">
      <c r="B28" s="18" t="s">
        <v>144</v>
      </c>
      <c r="C28" s="41" t="s">
        <v>125</v>
      </c>
      <c r="D28" s="38" t="s">
        <v>123</v>
      </c>
      <c r="E28" s="39" t="s">
        <v>123</v>
      </c>
      <c r="F28" s="40" t="s">
        <v>123</v>
      </c>
    </row>
    <row r="29" spans="2:6" ht="13.5" customHeight="1" x14ac:dyDescent="0.35">
      <c r="B29" s="18" t="s">
        <v>145</v>
      </c>
      <c r="C29" s="41" t="s">
        <v>125</v>
      </c>
      <c r="D29" s="46" t="s">
        <v>125</v>
      </c>
      <c r="E29" s="39" t="s">
        <v>123</v>
      </c>
      <c r="F29" s="40" t="s">
        <v>123</v>
      </c>
    </row>
    <row r="30" spans="2:6" ht="13.5" customHeight="1" x14ac:dyDescent="0.35">
      <c r="B30" s="18" t="s">
        <v>146</v>
      </c>
      <c r="C30" s="41" t="s">
        <v>125</v>
      </c>
      <c r="D30" s="46" t="s">
        <v>125</v>
      </c>
      <c r="E30" s="39" t="s">
        <v>123</v>
      </c>
      <c r="F30" s="40" t="s">
        <v>123</v>
      </c>
    </row>
    <row r="31" spans="2:6" ht="13.5" customHeight="1" x14ac:dyDescent="0.35">
      <c r="C31" s="36"/>
      <c r="D31" s="36"/>
      <c r="E31" s="36"/>
      <c r="F31" s="36"/>
    </row>
    <row r="32" spans="2:6" ht="13.5" customHeight="1" x14ac:dyDescent="0.35">
      <c r="B32" s="18" t="s">
        <v>147</v>
      </c>
      <c r="C32" s="42" t="s">
        <v>148</v>
      </c>
      <c r="D32" s="43" t="s">
        <v>149</v>
      </c>
      <c r="E32" s="44" t="s">
        <v>129</v>
      </c>
      <c r="F32" s="45" t="s">
        <v>129</v>
      </c>
    </row>
    <row r="33" spans="2:6" ht="13.5" customHeight="1" x14ac:dyDescent="0.35">
      <c r="B33" s="18" t="s">
        <v>150</v>
      </c>
      <c r="C33" s="42" t="s">
        <v>151</v>
      </c>
      <c r="D33" s="43" t="s">
        <v>152</v>
      </c>
      <c r="E33" s="44" t="s">
        <v>129</v>
      </c>
      <c r="F33" s="45" t="s">
        <v>129</v>
      </c>
    </row>
    <row r="34" spans="2:6" ht="13.5" customHeight="1" x14ac:dyDescent="0.35">
      <c r="B34" s="18" t="s">
        <v>153</v>
      </c>
      <c r="C34" s="42" t="s">
        <v>154</v>
      </c>
      <c r="D34" s="43" t="s">
        <v>151</v>
      </c>
      <c r="E34" s="44" t="s">
        <v>152</v>
      </c>
      <c r="F34" s="45" t="s">
        <v>129</v>
      </c>
    </row>
    <row r="35" spans="2:6" ht="13.5" customHeight="1" x14ac:dyDescent="0.35">
      <c r="B35" s="18" t="s">
        <v>155</v>
      </c>
      <c r="C35" s="42" t="s">
        <v>156</v>
      </c>
      <c r="D35" s="43" t="s">
        <v>157</v>
      </c>
      <c r="E35" s="44" t="s">
        <v>158</v>
      </c>
      <c r="F35" s="45" t="s">
        <v>129</v>
      </c>
    </row>
    <row r="36" spans="2:6" ht="13.5" customHeight="1" x14ac:dyDescent="0.35">
      <c r="C36" s="36"/>
      <c r="D36" s="36"/>
      <c r="E36" s="36"/>
      <c r="F36" s="36"/>
    </row>
    <row r="37" spans="2:6" ht="13.5" customHeight="1" x14ac:dyDescent="0.35">
      <c r="B37" s="18" t="s">
        <v>159</v>
      </c>
      <c r="C37" s="41" t="s">
        <v>125</v>
      </c>
      <c r="D37" s="38" t="s">
        <v>123</v>
      </c>
      <c r="E37" s="39" t="s">
        <v>123</v>
      </c>
      <c r="F37" s="40" t="s">
        <v>123</v>
      </c>
    </row>
    <row r="38" spans="2:6" ht="13.5" customHeight="1" x14ac:dyDescent="0.35">
      <c r="B38" s="18" t="s">
        <v>160</v>
      </c>
      <c r="C38" s="41" t="s">
        <v>125</v>
      </c>
      <c r="D38" s="46" t="s">
        <v>125</v>
      </c>
      <c r="E38" s="39" t="s">
        <v>123</v>
      </c>
      <c r="F38" s="40" t="s">
        <v>123</v>
      </c>
    </row>
    <row r="39" spans="2:6" ht="13.5" customHeight="1" x14ac:dyDescent="0.35">
      <c r="B39" s="18" t="s">
        <v>161</v>
      </c>
      <c r="C39" s="41" t="s">
        <v>125</v>
      </c>
      <c r="D39" s="46" t="s">
        <v>125</v>
      </c>
      <c r="E39" s="47" t="s">
        <v>125</v>
      </c>
      <c r="F39" s="40" t="s">
        <v>123</v>
      </c>
    </row>
    <row r="40" spans="2:6" ht="13.5" customHeight="1" x14ac:dyDescent="0.35">
      <c r="C40" s="36"/>
      <c r="D40" s="36"/>
      <c r="E40" s="36"/>
      <c r="F40" s="36"/>
    </row>
    <row r="41" spans="2:6" ht="13.5" customHeight="1" x14ac:dyDescent="0.35">
      <c r="B41" s="18" t="s">
        <v>162</v>
      </c>
      <c r="C41" s="41" t="s">
        <v>125</v>
      </c>
      <c r="D41" s="46" t="s">
        <v>125</v>
      </c>
      <c r="E41" s="47" t="s">
        <v>125</v>
      </c>
      <c r="F41" s="45" t="s">
        <v>163</v>
      </c>
    </row>
    <row r="42" spans="2:6" ht="13.5" customHeight="1" x14ac:dyDescent="0.35">
      <c r="B42" s="18" t="s">
        <v>164</v>
      </c>
      <c r="C42" s="41" t="s">
        <v>125</v>
      </c>
      <c r="D42" s="46" t="s">
        <v>125</v>
      </c>
      <c r="E42" s="47" t="s">
        <v>125</v>
      </c>
      <c r="F42" s="40" t="s">
        <v>123</v>
      </c>
    </row>
  </sheetData>
  <mergeCells count="2">
    <mergeCell ref="B1:F1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8"/>
  <sheetViews>
    <sheetView showGridLines="0" tabSelected="1" zoomScaleNormal="100" workbookViewId="0">
      <selection activeCell="G14" sqref="G14"/>
    </sheetView>
  </sheetViews>
  <sheetFormatPr defaultColWidth="8.6328125" defaultRowHeight="14.5" x14ac:dyDescent="0.35"/>
  <cols>
    <col min="1" max="1" width="3" customWidth="1"/>
    <col min="2" max="2" width="35" customWidth="1"/>
    <col min="3" max="11" width="12" customWidth="1"/>
    <col min="12" max="12" width="14" customWidth="1"/>
  </cols>
  <sheetData>
    <row r="1" spans="2:12" ht="16.149999999999999" customHeight="1" x14ac:dyDescent="0.35">
      <c r="B1" s="10" t="s">
        <v>165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5" customHeight="1" x14ac:dyDescent="0.35">
      <c r="B2" s="9" t="s">
        <v>166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21" x14ac:dyDescent="0.35">
      <c r="B4" s="48" t="s">
        <v>167</v>
      </c>
      <c r="C4" s="49" t="s">
        <v>168</v>
      </c>
      <c r="D4" s="49" t="s">
        <v>169</v>
      </c>
      <c r="E4" s="49" t="s">
        <v>170</v>
      </c>
      <c r="F4" s="49" t="s">
        <v>171</v>
      </c>
      <c r="G4" s="49" t="s">
        <v>172</v>
      </c>
      <c r="H4" s="49" t="s">
        <v>173</v>
      </c>
      <c r="I4" s="49" t="s">
        <v>174</v>
      </c>
      <c r="J4" s="49" t="s">
        <v>175</v>
      </c>
      <c r="K4" s="49" t="s">
        <v>176</v>
      </c>
      <c r="L4" s="49" t="s">
        <v>177</v>
      </c>
    </row>
    <row r="5" spans="2:12" ht="15" customHeight="1" x14ac:dyDescent="0.35">
      <c r="B5" s="8" t="s">
        <v>178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13.5" customHeight="1" x14ac:dyDescent="0.35">
      <c r="B6" s="18" t="s">
        <v>179</v>
      </c>
      <c r="C6" s="50">
        <f>ROUND(10*Assumptions!C5,0)</f>
        <v>4</v>
      </c>
      <c r="D6" s="50">
        <f>ROUND(50*Assumptions!C5,0)</f>
        <v>20</v>
      </c>
      <c r="E6" s="50">
        <f>ROUND(100*Assumptions!C5,0)</f>
        <v>40</v>
      </c>
      <c r="F6" s="50">
        <f>ROUND(200*Assumptions!C5,0)</f>
        <v>80</v>
      </c>
      <c r="G6" s="50">
        <f>ROUND(500*Assumptions!C5,0)</f>
        <v>200</v>
      </c>
      <c r="H6" s="50">
        <f>ROUND(1000*Assumptions!C5,0)</f>
        <v>400</v>
      </c>
      <c r="I6" s="50">
        <f>ROUND(2000*Assumptions!C5,0)</f>
        <v>800</v>
      </c>
      <c r="J6" s="50">
        <f>ROUND(5000*Assumptions!C5,0)</f>
        <v>2000</v>
      </c>
      <c r="K6" s="50">
        <f>ROUND(10000*Assumptions!C5,0)</f>
        <v>4000</v>
      </c>
      <c r="L6" s="27" t="s">
        <v>180</v>
      </c>
    </row>
    <row r="7" spans="2:12" ht="13.5" customHeight="1" x14ac:dyDescent="0.35">
      <c r="B7" s="18" t="s">
        <v>181</v>
      </c>
      <c r="C7" s="50">
        <f>ROUND(10*Assumptions!C5*Assumptions!C6*Assumptions!C8,0)</f>
        <v>840</v>
      </c>
      <c r="D7" s="50">
        <f>ROUND(50*Assumptions!C5*Assumptions!C6*Assumptions!C8,0)</f>
        <v>4200</v>
      </c>
      <c r="E7" s="50">
        <f>ROUND(100*Assumptions!C5*Assumptions!C6*Assumptions!C8,0)</f>
        <v>8400</v>
      </c>
      <c r="F7" s="50">
        <f>ROUND(200*Assumptions!C5*Assumptions!C6*Assumptions!C8,0)</f>
        <v>16800</v>
      </c>
      <c r="G7" s="50">
        <f>ROUND(500*Assumptions!C5*Assumptions!C6*Assumptions!C8,0)</f>
        <v>42000</v>
      </c>
      <c r="H7" s="50">
        <f>ROUND(1000*Assumptions!C5*Assumptions!C6*Assumptions!C8,0)</f>
        <v>84000</v>
      </c>
      <c r="I7" s="50">
        <f>ROUND(2000*Assumptions!C5*Assumptions!C6*Assumptions!C8,0)</f>
        <v>168000</v>
      </c>
      <c r="J7" s="50">
        <f>ROUND(5000*Assumptions!C5*Assumptions!C6*Assumptions!C8,0)</f>
        <v>420000</v>
      </c>
      <c r="K7" s="50">
        <f>ROUND(10000*Assumptions!C5*Assumptions!C6*Assumptions!C8,0)</f>
        <v>840000</v>
      </c>
      <c r="L7" s="27" t="s">
        <v>182</v>
      </c>
    </row>
    <row r="8" spans="2:12" ht="13.5" customHeight="1" x14ac:dyDescent="0.35">
      <c r="B8" s="18" t="s">
        <v>183</v>
      </c>
      <c r="C8" s="50">
        <f>ROUND(10*Assumptions!C5*Assumptions!C7*Assumptions!C8,0)</f>
        <v>120</v>
      </c>
      <c r="D8" s="50">
        <f>ROUND(50*Assumptions!C5*Assumptions!C7*Assumptions!C8,0)</f>
        <v>600</v>
      </c>
      <c r="E8" s="50">
        <f>ROUND(100*Assumptions!C5*Assumptions!C7*Assumptions!C8,0)</f>
        <v>1200</v>
      </c>
      <c r="F8" s="50">
        <f>ROUND(200*Assumptions!C5*Assumptions!C7*Assumptions!C8,0)</f>
        <v>2400</v>
      </c>
      <c r="G8" s="50">
        <f>ROUND(500*Assumptions!C5*Assumptions!C7*Assumptions!C8,0)</f>
        <v>6000</v>
      </c>
      <c r="H8" s="50">
        <f>ROUND(1000*Assumptions!C5*Assumptions!C7*Assumptions!C8,0)</f>
        <v>12000</v>
      </c>
      <c r="I8" s="50">
        <f>ROUND(2000*Assumptions!C5*Assumptions!C7*Assumptions!C8,0)</f>
        <v>24000</v>
      </c>
      <c r="J8" s="50">
        <f>ROUND(5000*Assumptions!C5*Assumptions!C7*Assumptions!C8,0)</f>
        <v>60000</v>
      </c>
      <c r="K8" s="50">
        <f>ROUND(10000*Assumptions!C5*Assumptions!C7*Assumptions!C8,0)</f>
        <v>120000</v>
      </c>
      <c r="L8" s="27" t="s">
        <v>184</v>
      </c>
    </row>
    <row r="9" spans="2:12" ht="13.5" customHeight="1" x14ac:dyDescent="0.35">
      <c r="B9" s="18" t="s">
        <v>185</v>
      </c>
      <c r="C9" s="50">
        <f>ROUND(10*Assumptions!C11,0)</f>
        <v>750</v>
      </c>
      <c r="D9" s="50">
        <f>ROUND(50*Assumptions!C11,0)</f>
        <v>3750</v>
      </c>
      <c r="E9" s="50">
        <f>ROUND(100*Assumptions!C11,0)</f>
        <v>7500</v>
      </c>
      <c r="F9" s="50">
        <f>ROUND(200*Assumptions!C11,0)</f>
        <v>15000</v>
      </c>
      <c r="G9" s="50">
        <f>ROUND(500*Assumptions!C11,0)</f>
        <v>37500</v>
      </c>
      <c r="H9" s="50">
        <f>ROUND(1000*Assumptions!C11,0)</f>
        <v>75000</v>
      </c>
      <c r="I9" s="50">
        <f>ROUND(2000*Assumptions!C11,0)</f>
        <v>150000</v>
      </c>
      <c r="J9" s="50">
        <f>ROUND(5000*Assumptions!C11,0)</f>
        <v>375000</v>
      </c>
      <c r="K9" s="50">
        <f>ROUND(10000*Assumptions!C11,0)</f>
        <v>750000</v>
      </c>
      <c r="L9" s="27" t="s">
        <v>186</v>
      </c>
    </row>
    <row r="10" spans="2:12" ht="13.5" customHeight="1" x14ac:dyDescent="0.35">
      <c r="B10" s="18" t="s">
        <v>187</v>
      </c>
      <c r="C10" s="50">
        <f>ROUND(10*Assumptions!C11*Assumptions!C12*Assumptions!C13,0)</f>
        <v>18000</v>
      </c>
      <c r="D10" s="50">
        <f>ROUND(50*Assumptions!C11*Assumptions!C12*Assumptions!C13,0)</f>
        <v>90000</v>
      </c>
      <c r="E10" s="50">
        <f>ROUND(100*Assumptions!C11*Assumptions!C12*Assumptions!C13,0)</f>
        <v>180000</v>
      </c>
      <c r="F10" s="50">
        <f>ROUND(200*Assumptions!C11*Assumptions!C12*Assumptions!C13,0)</f>
        <v>360000</v>
      </c>
      <c r="G10" s="50">
        <f>ROUND(500*Assumptions!C11*Assumptions!C12*Assumptions!C13,0)</f>
        <v>900000</v>
      </c>
      <c r="H10" s="50">
        <f>ROUND(1000*Assumptions!C11*Assumptions!C12*Assumptions!C13,0)</f>
        <v>1800000</v>
      </c>
      <c r="I10" s="50">
        <f>ROUND(2000*Assumptions!C11*Assumptions!C12*Assumptions!C13,0)</f>
        <v>3600000</v>
      </c>
      <c r="J10" s="50">
        <f>ROUND(5000*Assumptions!C11*Assumptions!C12*Assumptions!C13,0)</f>
        <v>9000000</v>
      </c>
      <c r="K10" s="50">
        <f>ROUND(10000*Assumptions!C11*Assumptions!C12*Assumptions!C13,0)</f>
        <v>18000000</v>
      </c>
      <c r="L10" s="27" t="s">
        <v>184</v>
      </c>
    </row>
    <row r="12" spans="2:12" ht="15" customHeight="1" x14ac:dyDescent="0.35">
      <c r="B12" s="8" t="s">
        <v>188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2:12" ht="13.5" customHeight="1" x14ac:dyDescent="0.35">
      <c r="B13" s="18" t="s">
        <v>189</v>
      </c>
      <c r="C13" s="50">
        <f>ROUND(10*Assumptions!C5*Assumptions!C6*Assumptions!C8*Assumptions!C21,0)</f>
        <v>294000</v>
      </c>
      <c r="D13" s="50">
        <f>ROUND(50*Assumptions!C5*Assumptions!C6*Assumptions!C8*Assumptions!C21,0)</f>
        <v>1470000</v>
      </c>
      <c r="E13" s="50">
        <f>ROUND(100*Assumptions!C5*Assumptions!C6*Assumptions!C8*Assumptions!C21,0)</f>
        <v>2940000</v>
      </c>
      <c r="F13" s="50">
        <f>ROUND(200*Assumptions!C5*Assumptions!C6*Assumptions!C8*Assumptions!C21,0)</f>
        <v>5880000</v>
      </c>
      <c r="G13" s="50">
        <f>ROUND(500*Assumptions!C5*Assumptions!C6*Assumptions!C8*Assumptions!C21,0)</f>
        <v>14700000</v>
      </c>
      <c r="H13" s="50">
        <f>ROUND(1000*Assumptions!C5*Assumptions!C6*Assumptions!C8*Assumptions!C21,0)</f>
        <v>29400000</v>
      </c>
      <c r="I13" s="50">
        <f>ROUND(2000*Assumptions!C5*Assumptions!C6*Assumptions!C8*Assumptions!C21,0)</f>
        <v>58800000</v>
      </c>
      <c r="J13" s="50">
        <f>ROUND(5000*Assumptions!C5*Assumptions!C6*Assumptions!C8*Assumptions!C21,0)</f>
        <v>147000000</v>
      </c>
      <c r="K13" s="50">
        <f>ROUND(10000*Assumptions!C5*Assumptions!C6*Assumptions!C8*Assumptions!C21,0)</f>
        <v>294000000</v>
      </c>
      <c r="L13" s="27" t="s">
        <v>190</v>
      </c>
    </row>
    <row r="14" spans="2:12" ht="13.5" customHeight="1" x14ac:dyDescent="0.35">
      <c r="B14" s="18" t="s">
        <v>191</v>
      </c>
      <c r="C14" s="50">
        <f>ROUND(10*Assumptions!C5*Assumptions!C6*Assumptions!C8*Assumptions!C22,0)</f>
        <v>67200</v>
      </c>
      <c r="D14" s="50">
        <f>ROUND(50*Assumptions!C5*Assumptions!C6*Assumptions!C8*Assumptions!C22,0)</f>
        <v>336000</v>
      </c>
      <c r="E14" s="50">
        <f>ROUND(100*Assumptions!C5*Assumptions!C6*Assumptions!C8*Assumptions!C22,0)</f>
        <v>672000</v>
      </c>
      <c r="F14" s="50">
        <f>ROUND(200*Assumptions!C5*Assumptions!C6*Assumptions!C8*Assumptions!C22,0)</f>
        <v>1344000</v>
      </c>
      <c r="G14" s="50">
        <f>ROUND(500*Assumptions!C5*Assumptions!C6*Assumptions!C8*Assumptions!C22,0)</f>
        <v>3360000</v>
      </c>
      <c r="H14" s="50">
        <f>ROUND(1000*Assumptions!C5*Assumptions!C6*Assumptions!C8*Assumptions!C22,0)</f>
        <v>6720000</v>
      </c>
      <c r="I14" s="50">
        <f>ROUND(2000*Assumptions!C5*Assumptions!C6*Assumptions!C8*Assumptions!C22,0)</f>
        <v>13440000</v>
      </c>
      <c r="J14" s="50">
        <f>ROUND(5000*Assumptions!C5*Assumptions!C6*Assumptions!C8*Assumptions!C22,0)</f>
        <v>33600000</v>
      </c>
      <c r="K14" s="50">
        <f>ROUND(10000*Assumptions!C5*Assumptions!C6*Assumptions!C8*Assumptions!C22,0)</f>
        <v>67200000</v>
      </c>
      <c r="L14" s="27" t="s">
        <v>190</v>
      </c>
    </row>
    <row r="15" spans="2:12" ht="13.5" customHeight="1" x14ac:dyDescent="0.35">
      <c r="B15" s="18" t="s">
        <v>192</v>
      </c>
      <c r="C15" s="50">
        <f>ROUND(10*Assumptions!C5*Assumptions!C7*Assumptions!C8*Assumptions!C23,0)</f>
        <v>216000</v>
      </c>
      <c r="D15" s="50">
        <f>ROUND(50*Assumptions!C5*Assumptions!C7*Assumptions!C8*Assumptions!C23,0)</f>
        <v>1080000</v>
      </c>
      <c r="E15" s="50">
        <f>ROUND(100*Assumptions!C5*Assumptions!C7*Assumptions!C8*Assumptions!C23,0)</f>
        <v>2160000</v>
      </c>
      <c r="F15" s="50">
        <f>ROUND(200*Assumptions!C5*Assumptions!C7*Assumptions!C8*Assumptions!C23,0)</f>
        <v>4320000</v>
      </c>
      <c r="G15" s="50">
        <f>ROUND(500*Assumptions!C5*Assumptions!C7*Assumptions!C8*Assumptions!C23,0)</f>
        <v>10800000</v>
      </c>
      <c r="H15" s="50">
        <f>ROUND(1000*Assumptions!C5*Assumptions!C7*Assumptions!C8*Assumptions!C23,0)</f>
        <v>21600000</v>
      </c>
      <c r="I15" s="50">
        <f>ROUND(2000*Assumptions!C5*Assumptions!C7*Assumptions!C8*Assumptions!C23,0)</f>
        <v>43200000</v>
      </c>
      <c r="J15" s="50">
        <f>ROUND(5000*Assumptions!C5*Assumptions!C7*Assumptions!C8*Assumptions!C23,0)</f>
        <v>108000000</v>
      </c>
      <c r="K15" s="50">
        <f>ROUND(10000*Assumptions!C5*Assumptions!C7*Assumptions!C8*Assumptions!C23,0)</f>
        <v>216000000</v>
      </c>
      <c r="L15" s="27" t="s">
        <v>190</v>
      </c>
    </row>
    <row r="16" spans="2:12" ht="13.5" customHeight="1" x14ac:dyDescent="0.35">
      <c r="B16" s="18" t="s">
        <v>193</v>
      </c>
      <c r="C16" s="50">
        <f>ROUND(10*Assumptions!C5*Assumptions!C7*Assumptions!C8*Assumptions!C24,0)</f>
        <v>18000</v>
      </c>
      <c r="D16" s="50">
        <f>ROUND(50*Assumptions!C5*Assumptions!C7*Assumptions!C8*Assumptions!C24,0)</f>
        <v>90000</v>
      </c>
      <c r="E16" s="50">
        <f>ROUND(100*Assumptions!C5*Assumptions!C7*Assumptions!C8*Assumptions!C24,0)</f>
        <v>180000</v>
      </c>
      <c r="F16" s="50">
        <f>ROUND(200*Assumptions!C5*Assumptions!C7*Assumptions!C8*Assumptions!C24,0)</f>
        <v>360000</v>
      </c>
      <c r="G16" s="50">
        <f>ROUND(500*Assumptions!C5*Assumptions!C7*Assumptions!C8*Assumptions!C24,0)</f>
        <v>900000</v>
      </c>
      <c r="H16" s="50">
        <f>ROUND(1000*Assumptions!C5*Assumptions!C7*Assumptions!C8*Assumptions!C24,0)</f>
        <v>1800000</v>
      </c>
      <c r="I16" s="50">
        <f>ROUND(2000*Assumptions!C5*Assumptions!C7*Assumptions!C8*Assumptions!C24,0)</f>
        <v>3600000</v>
      </c>
      <c r="J16" s="50">
        <f>ROUND(5000*Assumptions!C5*Assumptions!C7*Assumptions!C8*Assumptions!C24,0)</f>
        <v>9000000</v>
      </c>
      <c r="K16" s="50">
        <f>ROUND(10000*Assumptions!C5*Assumptions!C7*Assumptions!C8*Assumptions!C24,0)</f>
        <v>18000000</v>
      </c>
      <c r="L16" s="27" t="s">
        <v>190</v>
      </c>
    </row>
    <row r="17" spans="2:12" ht="13.5" customHeight="1" x14ac:dyDescent="0.35">
      <c r="B17" s="18" t="s">
        <v>194</v>
      </c>
      <c r="C17" s="50">
        <f>ROUND(10*Assumptions!C11*Assumptions!C12*Assumptions!C13*Assumptions!C25,0)</f>
        <v>36000000</v>
      </c>
      <c r="D17" s="50">
        <f>ROUND(50*Assumptions!C11*Assumptions!C12*Assumptions!C13*Assumptions!C25,0)</f>
        <v>180000000</v>
      </c>
      <c r="E17" s="50">
        <f>ROUND(100*Assumptions!C11*Assumptions!C12*Assumptions!C13*Assumptions!C25,0)</f>
        <v>360000000</v>
      </c>
      <c r="F17" s="50">
        <f>ROUND(200*Assumptions!C11*Assumptions!C12*Assumptions!C13*Assumptions!C25,0)</f>
        <v>720000000</v>
      </c>
      <c r="G17" s="50">
        <f>ROUND(500*Assumptions!C11*Assumptions!C12*Assumptions!C13*Assumptions!C25,0)</f>
        <v>1800000000</v>
      </c>
      <c r="H17" s="50">
        <f>ROUND(1000*Assumptions!C11*Assumptions!C12*Assumptions!C13*Assumptions!C25,0)</f>
        <v>3600000000</v>
      </c>
      <c r="I17" s="50">
        <f>ROUND(2000*Assumptions!C11*Assumptions!C12*Assumptions!C13*Assumptions!C25,0)</f>
        <v>7200000000</v>
      </c>
      <c r="J17" s="50">
        <f>ROUND(5000*Assumptions!C11*Assumptions!C12*Assumptions!C13*Assumptions!C25,0)</f>
        <v>18000000000</v>
      </c>
      <c r="K17" s="50">
        <f>ROUND(10000*Assumptions!C11*Assumptions!C12*Assumptions!C13*Assumptions!C25,0)</f>
        <v>36000000000</v>
      </c>
      <c r="L17" s="27" t="s">
        <v>190</v>
      </c>
    </row>
    <row r="18" spans="2:12" ht="13.5" customHeight="1" x14ac:dyDescent="0.35">
      <c r="B18" s="18" t="s">
        <v>195</v>
      </c>
      <c r="C18" s="50">
        <f>ROUND(10*Assumptions!C11*Assumptions!C12*Assumptions!C13*Assumptions!C26,0)</f>
        <v>3240000</v>
      </c>
      <c r="D18" s="50">
        <f>ROUND(50*Assumptions!C11*Assumptions!C12*Assumptions!C13*Assumptions!C26,0)</f>
        <v>16200000</v>
      </c>
      <c r="E18" s="50">
        <f>ROUND(100*Assumptions!C11*Assumptions!C12*Assumptions!C13*Assumptions!C26,0)</f>
        <v>32400000</v>
      </c>
      <c r="F18" s="50">
        <f>ROUND(200*Assumptions!C11*Assumptions!C12*Assumptions!C13*Assumptions!C26,0)</f>
        <v>64800000</v>
      </c>
      <c r="G18" s="50">
        <f>ROUND(500*Assumptions!C11*Assumptions!C12*Assumptions!C13*Assumptions!C26,0)</f>
        <v>162000000</v>
      </c>
      <c r="H18" s="50">
        <f>ROUND(1000*Assumptions!C11*Assumptions!C12*Assumptions!C13*Assumptions!C26,0)</f>
        <v>324000000</v>
      </c>
      <c r="I18" s="50">
        <f>ROUND(2000*Assumptions!C11*Assumptions!C12*Assumptions!C13*Assumptions!C26,0)</f>
        <v>648000000</v>
      </c>
      <c r="J18" s="50">
        <f>ROUND(5000*Assumptions!C11*Assumptions!C12*Assumptions!C13*Assumptions!C26,0)</f>
        <v>1620000000</v>
      </c>
      <c r="K18" s="50">
        <f>ROUND(10000*Assumptions!C11*Assumptions!C12*Assumptions!C13*Assumptions!C26,0)</f>
        <v>3240000000</v>
      </c>
      <c r="L18" s="27" t="s">
        <v>190</v>
      </c>
    </row>
    <row r="19" spans="2:12" ht="13.5" customHeight="1" x14ac:dyDescent="0.35">
      <c r="B19" s="51" t="s">
        <v>196</v>
      </c>
      <c r="C19" s="52">
        <f t="shared" ref="C19:K19" si="0">C13+C15+C17</f>
        <v>36510000</v>
      </c>
      <c r="D19" s="52">
        <f t="shared" si="0"/>
        <v>182550000</v>
      </c>
      <c r="E19" s="52">
        <f t="shared" si="0"/>
        <v>365100000</v>
      </c>
      <c r="F19" s="52">
        <f t="shared" si="0"/>
        <v>730200000</v>
      </c>
      <c r="G19" s="52">
        <f t="shared" si="0"/>
        <v>1825500000</v>
      </c>
      <c r="H19" s="52">
        <f t="shared" si="0"/>
        <v>3651000000</v>
      </c>
      <c r="I19" s="52">
        <f t="shared" si="0"/>
        <v>7302000000</v>
      </c>
      <c r="J19" s="52">
        <f t="shared" si="0"/>
        <v>18255000000</v>
      </c>
      <c r="K19" s="52">
        <f t="shared" si="0"/>
        <v>36510000000</v>
      </c>
      <c r="L19" s="27" t="s">
        <v>190</v>
      </c>
    </row>
    <row r="20" spans="2:12" ht="13.5" customHeight="1" x14ac:dyDescent="0.35">
      <c r="B20" s="51" t="s">
        <v>197</v>
      </c>
      <c r="C20" s="52">
        <f t="shared" ref="C20:K20" si="1">C14+C16+C18</f>
        <v>3325200</v>
      </c>
      <c r="D20" s="52">
        <f t="shared" si="1"/>
        <v>16626000</v>
      </c>
      <c r="E20" s="52">
        <f t="shared" si="1"/>
        <v>33252000</v>
      </c>
      <c r="F20" s="52">
        <f t="shared" si="1"/>
        <v>66504000</v>
      </c>
      <c r="G20" s="52">
        <f t="shared" si="1"/>
        <v>166260000</v>
      </c>
      <c r="H20" s="52">
        <f t="shared" si="1"/>
        <v>332520000</v>
      </c>
      <c r="I20" s="52">
        <f t="shared" si="1"/>
        <v>665040000</v>
      </c>
      <c r="J20" s="52">
        <f t="shared" si="1"/>
        <v>1662600000</v>
      </c>
      <c r="K20" s="52">
        <f t="shared" si="1"/>
        <v>3325200000</v>
      </c>
      <c r="L20" s="27" t="s">
        <v>190</v>
      </c>
    </row>
    <row r="22" spans="2:12" ht="15" customHeight="1" x14ac:dyDescent="0.35">
      <c r="B22" s="8" t="s">
        <v>198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2:12" ht="13.5" customHeight="1" x14ac:dyDescent="0.35">
      <c r="B23" s="18" t="s">
        <v>199</v>
      </c>
      <c r="C23" s="53">
        <f>C19/1000000*Assumptions!C17</f>
        <v>29.207999999999998</v>
      </c>
      <c r="D23" s="53">
        <f>D19/1000000*Assumptions!C17</f>
        <v>146.04000000000002</v>
      </c>
      <c r="E23" s="53">
        <f>E19/1000000*Assumptions!C17</f>
        <v>292.08000000000004</v>
      </c>
      <c r="F23" s="53">
        <f>F19/1000000*Assumptions!C17</f>
        <v>584.16000000000008</v>
      </c>
      <c r="G23" s="53">
        <f>G19/1000000*Assumptions!C17</f>
        <v>1460.4</v>
      </c>
      <c r="H23" s="53">
        <f>H19/1000000*Assumptions!C17</f>
        <v>2920.8</v>
      </c>
      <c r="I23" s="53">
        <f>I19/1000000*Assumptions!C17</f>
        <v>5841.6</v>
      </c>
      <c r="J23" s="53">
        <f>J19/1000000*Assumptions!C17</f>
        <v>14604</v>
      </c>
      <c r="K23" s="53">
        <f>K19/1000000*Assumptions!C17</f>
        <v>29208</v>
      </c>
      <c r="L23" s="27" t="s">
        <v>79</v>
      </c>
    </row>
    <row r="24" spans="2:12" ht="13.5" customHeight="1" x14ac:dyDescent="0.35">
      <c r="B24" s="18" t="s">
        <v>200</v>
      </c>
      <c r="C24" s="53">
        <f>C20/1000000*Assumptions!C18</f>
        <v>13.300800000000001</v>
      </c>
      <c r="D24" s="53">
        <f>D20/1000000*Assumptions!C18</f>
        <v>66.504000000000005</v>
      </c>
      <c r="E24" s="53">
        <f>E20/1000000*Assumptions!C18</f>
        <v>133.00800000000001</v>
      </c>
      <c r="F24" s="53">
        <f>F20/1000000*Assumptions!C18</f>
        <v>266.01600000000002</v>
      </c>
      <c r="G24" s="53">
        <f>G20/1000000*Assumptions!C18</f>
        <v>665.04</v>
      </c>
      <c r="H24" s="53">
        <f>H20/1000000*Assumptions!C18</f>
        <v>1330.08</v>
      </c>
      <c r="I24" s="53">
        <f>I20/1000000*Assumptions!C18</f>
        <v>2660.16</v>
      </c>
      <c r="J24" s="53">
        <f>J20/1000000*Assumptions!C18</f>
        <v>6650.4</v>
      </c>
      <c r="K24" s="53">
        <f>K20/1000000*Assumptions!C18</f>
        <v>13300.8</v>
      </c>
      <c r="L24" s="27" t="s">
        <v>79</v>
      </c>
    </row>
    <row r="25" spans="2:12" ht="13.5" customHeight="1" x14ac:dyDescent="0.35">
      <c r="B25" s="51" t="s">
        <v>201</v>
      </c>
      <c r="C25" s="54">
        <f t="shared" ref="C25:K25" si="2">C23+C24</f>
        <v>42.508800000000001</v>
      </c>
      <c r="D25" s="54">
        <f t="shared" si="2"/>
        <v>212.54400000000004</v>
      </c>
      <c r="E25" s="54">
        <f t="shared" si="2"/>
        <v>425.08800000000008</v>
      </c>
      <c r="F25" s="54">
        <f t="shared" si="2"/>
        <v>850.17600000000016</v>
      </c>
      <c r="G25" s="54">
        <f t="shared" si="2"/>
        <v>2125.44</v>
      </c>
      <c r="H25" s="54">
        <f t="shared" si="2"/>
        <v>4250.88</v>
      </c>
      <c r="I25" s="54">
        <f t="shared" si="2"/>
        <v>8501.76</v>
      </c>
      <c r="J25" s="54">
        <f t="shared" si="2"/>
        <v>21254.400000000001</v>
      </c>
      <c r="K25" s="54">
        <f t="shared" si="2"/>
        <v>42508.800000000003</v>
      </c>
      <c r="L25" s="27" t="s">
        <v>79</v>
      </c>
    </row>
    <row r="26" spans="2:12" ht="13.5" customHeight="1" x14ac:dyDescent="0.35">
      <c r="B26" s="18" t="s">
        <v>202</v>
      </c>
      <c r="C26" s="55">
        <f>C25/10</f>
        <v>4.2508800000000004</v>
      </c>
      <c r="D26" s="55">
        <f>D25/50</f>
        <v>4.2508800000000004</v>
      </c>
      <c r="E26" s="55">
        <f>E25/100</f>
        <v>4.2508800000000004</v>
      </c>
      <c r="F26" s="55">
        <f>F25/200</f>
        <v>4.2508800000000004</v>
      </c>
      <c r="G26" s="55">
        <f>G25/500</f>
        <v>4.2508800000000004</v>
      </c>
      <c r="H26" s="55">
        <f>H25/1000</f>
        <v>4.2508800000000004</v>
      </c>
      <c r="I26" s="55">
        <f>I25/2000</f>
        <v>4.2508800000000004</v>
      </c>
      <c r="J26" s="55">
        <f>J25/5000</f>
        <v>4.2508800000000004</v>
      </c>
      <c r="K26" s="55">
        <f>K25/10000</f>
        <v>4.2508800000000004</v>
      </c>
      <c r="L26" s="27" t="s">
        <v>203</v>
      </c>
    </row>
    <row r="28" spans="2:12" ht="15" customHeight="1" x14ac:dyDescent="0.35">
      <c r="B28" s="8" t="s">
        <v>204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2:12" ht="13.5" customHeight="1" x14ac:dyDescent="0.35">
      <c r="B29" s="56" t="s">
        <v>205</v>
      </c>
      <c r="C29" s="57">
        <f>C25*Assumptions!C47</f>
        <v>737527.68</v>
      </c>
      <c r="D29" s="57">
        <f>D25*Assumptions!C47</f>
        <v>3687638.4000000008</v>
      </c>
      <c r="E29" s="57">
        <f>E25*Assumptions!C47</f>
        <v>7375276.8000000017</v>
      </c>
      <c r="F29" s="57">
        <f>F25*Assumptions!C47</f>
        <v>14750553.600000003</v>
      </c>
      <c r="G29" s="57">
        <f>G25*Assumptions!C47</f>
        <v>36876384</v>
      </c>
      <c r="H29" s="57">
        <f>H25*Assumptions!C47</f>
        <v>73752768</v>
      </c>
      <c r="I29" s="57">
        <f>I25*Assumptions!C47</f>
        <v>147505536</v>
      </c>
      <c r="J29" s="57">
        <f>J25*Assumptions!C47</f>
        <v>368763840</v>
      </c>
      <c r="K29" s="57">
        <f>K25*Assumptions!C47</f>
        <v>737527680</v>
      </c>
      <c r="L29" s="27" t="s">
        <v>206</v>
      </c>
    </row>
    <row r="30" spans="2:12" ht="13.5" customHeight="1" x14ac:dyDescent="0.35">
      <c r="B30" s="23" t="s">
        <v>207</v>
      </c>
      <c r="C30" s="58">
        <f>C26*Assumptions!C47</f>
        <v>73752.768000000011</v>
      </c>
      <c r="D30" s="58">
        <f>D26*Assumptions!C47</f>
        <v>73752.768000000011</v>
      </c>
      <c r="E30" s="58">
        <f>E26*Assumptions!C47</f>
        <v>73752.768000000011</v>
      </c>
      <c r="F30" s="58">
        <f>F26*Assumptions!C47</f>
        <v>73752.768000000011</v>
      </c>
      <c r="G30" s="58">
        <f>G26*Assumptions!C47</f>
        <v>73752.768000000011</v>
      </c>
      <c r="H30" s="58">
        <f>H26*Assumptions!C47</f>
        <v>73752.768000000011</v>
      </c>
      <c r="I30" s="58">
        <f>I26*Assumptions!C47</f>
        <v>73752.768000000011</v>
      </c>
      <c r="J30" s="58">
        <f>J26*Assumptions!C47</f>
        <v>73752.768000000011</v>
      </c>
      <c r="K30" s="58">
        <f>K26*Assumptions!C47</f>
        <v>73752.768000000011</v>
      </c>
      <c r="L30" s="27" t="s">
        <v>208</v>
      </c>
    </row>
    <row r="32" spans="2:12" ht="15" customHeight="1" x14ac:dyDescent="0.35">
      <c r="B32" s="8" t="s">
        <v>209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2:12" ht="13.5" customHeight="1" x14ac:dyDescent="0.35">
      <c r="B33" s="7" t="s">
        <v>210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ht="13.5" customHeight="1" x14ac:dyDescent="0.35">
      <c r="B34" s="18" t="s">
        <v>211</v>
      </c>
      <c r="C34" s="50">
        <f>ROUND(10*Assumptions!C5*Assumptions!C6*Assumptions!C8*Assumptions!C27,0)</f>
        <v>420000</v>
      </c>
      <c r="D34" s="50">
        <f>ROUND(50*Assumptions!C5*Assumptions!C6*Assumptions!C8*Assumptions!C27,0)</f>
        <v>2100000</v>
      </c>
      <c r="E34" s="50">
        <f>ROUND(100*Assumptions!C5*Assumptions!C6*Assumptions!C8*Assumptions!C27,0)</f>
        <v>4200000</v>
      </c>
      <c r="F34" s="50">
        <f>ROUND(200*Assumptions!C5*Assumptions!C6*Assumptions!C8*Assumptions!C27,0)</f>
        <v>8400000</v>
      </c>
      <c r="G34" s="50">
        <f>ROUND(500*Assumptions!C5*Assumptions!C6*Assumptions!C8*Assumptions!C27,0)</f>
        <v>21000000</v>
      </c>
      <c r="H34" s="50">
        <f>ROUND(1000*Assumptions!C5*Assumptions!C6*Assumptions!C8*Assumptions!C27,0)</f>
        <v>42000000</v>
      </c>
      <c r="I34" s="50">
        <f>ROUND(2000*Assumptions!C5*Assumptions!C6*Assumptions!C8*Assumptions!C27,0)</f>
        <v>84000000</v>
      </c>
      <c r="J34" s="50">
        <f>ROUND(5000*Assumptions!C5*Assumptions!C6*Assumptions!C8*Assumptions!C27,0)</f>
        <v>210000000</v>
      </c>
      <c r="K34" s="50">
        <f>ROUND(10000*Assumptions!C5*Assumptions!C6*Assumptions!C8*Assumptions!C27,0)</f>
        <v>420000000</v>
      </c>
      <c r="L34" s="27" t="s">
        <v>190</v>
      </c>
    </row>
    <row r="35" spans="2:12" ht="13.5" customHeight="1" x14ac:dyDescent="0.35">
      <c r="B35" s="18" t="s">
        <v>212</v>
      </c>
      <c r="C35" s="50">
        <f>ROUND(10*Assumptions!C5*Assumptions!C6*Assumptions!C8*Assumptions!C28,0)</f>
        <v>126000</v>
      </c>
      <c r="D35" s="50">
        <f>ROUND(50*Assumptions!C5*Assumptions!C6*Assumptions!C8*Assumptions!C28,0)</f>
        <v>630000</v>
      </c>
      <c r="E35" s="50">
        <f>ROUND(100*Assumptions!C5*Assumptions!C6*Assumptions!C8*Assumptions!C28,0)</f>
        <v>1260000</v>
      </c>
      <c r="F35" s="50">
        <f>ROUND(200*Assumptions!C5*Assumptions!C6*Assumptions!C8*Assumptions!C28,0)</f>
        <v>2520000</v>
      </c>
      <c r="G35" s="50">
        <f>ROUND(500*Assumptions!C5*Assumptions!C6*Assumptions!C8*Assumptions!C28,0)</f>
        <v>6300000</v>
      </c>
      <c r="H35" s="50">
        <f>ROUND(1000*Assumptions!C5*Assumptions!C6*Assumptions!C8*Assumptions!C28,0)</f>
        <v>12600000</v>
      </c>
      <c r="I35" s="50">
        <f>ROUND(2000*Assumptions!C5*Assumptions!C6*Assumptions!C8*Assumptions!C28,0)</f>
        <v>25200000</v>
      </c>
      <c r="J35" s="50">
        <f>ROUND(5000*Assumptions!C5*Assumptions!C6*Assumptions!C8*Assumptions!C28,0)</f>
        <v>63000000</v>
      </c>
      <c r="K35" s="50">
        <f>ROUND(10000*Assumptions!C5*Assumptions!C6*Assumptions!C8*Assumptions!C28,0)</f>
        <v>126000000</v>
      </c>
      <c r="L35" s="27" t="s">
        <v>190</v>
      </c>
    </row>
    <row r="36" spans="2:12" ht="13.5" customHeight="1" x14ac:dyDescent="0.35">
      <c r="B36" s="51" t="s">
        <v>213</v>
      </c>
      <c r="C36" s="59">
        <f>(C34+C15+C17)/1000000*Assumptions!C17+(C35+C16+C18)/1000000*Assumptions!C18</f>
        <v>42.844800000000006</v>
      </c>
      <c r="D36" s="59">
        <f>(D34+D15+D17)/1000000*Assumptions!C17+(D35+D16+D18)/1000000*Assumptions!C18</f>
        <v>214.22400000000002</v>
      </c>
      <c r="E36" s="59">
        <f>(E34+E15+E17)/1000000*Assumptions!C17+(E35+E16+E18)/1000000*Assumptions!C18</f>
        <v>428.44800000000004</v>
      </c>
      <c r="F36" s="59">
        <f>(F34+F15+F17)/1000000*Assumptions!C17+(F35+F16+F18)/1000000*Assumptions!C18</f>
        <v>856.89600000000007</v>
      </c>
      <c r="G36" s="59">
        <f>(G34+G15+G17)/1000000*Assumptions!C17+(G35+G16+G18)/1000000*Assumptions!C18</f>
        <v>2142.2399999999998</v>
      </c>
      <c r="H36" s="59">
        <f>(H34+H15+H17)/1000000*Assumptions!C17+(H35+H16+H18)/1000000*Assumptions!C18</f>
        <v>4284.4799999999996</v>
      </c>
      <c r="I36" s="59">
        <f>(I34+I15+I17)/1000000*Assumptions!C17+(I35+I16+I18)/1000000*Assumptions!C18</f>
        <v>8568.9599999999991</v>
      </c>
      <c r="J36" s="59">
        <f>(J34+J15+J17)/1000000*Assumptions!C17+(J35+J16+J18)/1000000*Assumptions!C18</f>
        <v>21422.400000000001</v>
      </c>
      <c r="K36" s="59">
        <f>(K34+K15+K17)/1000000*Assumptions!C17+(K35+K16+K18)/1000000*Assumptions!C18</f>
        <v>42844.800000000003</v>
      </c>
      <c r="L36" s="27" t="s">
        <v>79</v>
      </c>
    </row>
    <row r="37" spans="2:12" ht="13.5" customHeight="1" x14ac:dyDescent="0.35">
      <c r="B37" s="56" t="s">
        <v>214</v>
      </c>
      <c r="C37" s="57">
        <f>C36*Assumptions!C47</f>
        <v>743357.28000000014</v>
      </c>
      <c r="D37" s="57">
        <f>D36*Assumptions!C47</f>
        <v>3716786.4000000004</v>
      </c>
      <c r="E37" s="57">
        <f>E36*Assumptions!C47</f>
        <v>7433572.8000000007</v>
      </c>
      <c r="F37" s="57">
        <f>F36*Assumptions!C47</f>
        <v>14867145.600000001</v>
      </c>
      <c r="G37" s="57">
        <f>G36*Assumptions!C47</f>
        <v>37167863.999999993</v>
      </c>
      <c r="H37" s="57">
        <f>H36*Assumptions!C47</f>
        <v>74335727.999999985</v>
      </c>
      <c r="I37" s="57">
        <f>I36*Assumptions!C47</f>
        <v>148671455.99999997</v>
      </c>
      <c r="J37" s="57">
        <f>J36*Assumptions!C47</f>
        <v>371678640</v>
      </c>
      <c r="K37" s="57">
        <f>K36*Assumptions!C47</f>
        <v>743357280</v>
      </c>
      <c r="L37" s="27" t="s">
        <v>206</v>
      </c>
    </row>
    <row r="38" spans="2:12" ht="13.5" customHeight="1" x14ac:dyDescent="0.35">
      <c r="B38" s="60" t="s">
        <v>215</v>
      </c>
      <c r="C38" s="61">
        <f t="shared" ref="C38:K38" si="3">C37-C29</f>
        <v>5829.6000000000931</v>
      </c>
      <c r="D38" s="61">
        <f t="shared" si="3"/>
        <v>29147.999999999534</v>
      </c>
      <c r="E38" s="61">
        <f t="shared" si="3"/>
        <v>58295.999999999069</v>
      </c>
      <c r="F38" s="61">
        <f t="shared" si="3"/>
        <v>116591.99999999814</v>
      </c>
      <c r="G38" s="61">
        <f t="shared" si="3"/>
        <v>291479.99999999255</v>
      </c>
      <c r="H38" s="61">
        <f t="shared" si="3"/>
        <v>582959.9999999851</v>
      </c>
      <c r="I38" s="61">
        <f t="shared" si="3"/>
        <v>1165919.9999999702</v>
      </c>
      <c r="J38" s="61">
        <f t="shared" si="3"/>
        <v>2914800</v>
      </c>
      <c r="K38" s="61">
        <f t="shared" si="3"/>
        <v>5829600</v>
      </c>
      <c r="L38" s="27" t="s">
        <v>206</v>
      </c>
    </row>
  </sheetData>
  <mergeCells count="8">
    <mergeCell ref="B28:L28"/>
    <mergeCell ref="B32:L32"/>
    <mergeCell ref="B33:L33"/>
    <mergeCell ref="B1:L1"/>
    <mergeCell ref="B2:L2"/>
    <mergeCell ref="B5:L5"/>
    <mergeCell ref="B12:L12"/>
    <mergeCell ref="B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2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5" customWidth="1"/>
    <col min="3" max="11" width="12" customWidth="1"/>
    <col min="12" max="12" width="14" customWidth="1"/>
  </cols>
  <sheetData>
    <row r="1" spans="2:12" ht="16.149999999999999" customHeight="1" x14ac:dyDescent="0.35">
      <c r="B1" s="10" t="s">
        <v>216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5" customHeight="1" x14ac:dyDescent="0.35">
      <c r="B2" s="9" t="s">
        <v>217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21" x14ac:dyDescent="0.35">
      <c r="B4" s="48" t="s">
        <v>218</v>
      </c>
      <c r="C4" s="49" t="s">
        <v>168</v>
      </c>
      <c r="D4" s="49" t="s">
        <v>169</v>
      </c>
      <c r="E4" s="49" t="s">
        <v>170</v>
      </c>
      <c r="F4" s="49" t="s">
        <v>171</v>
      </c>
      <c r="G4" s="49" t="s">
        <v>172</v>
      </c>
      <c r="H4" s="49" t="s">
        <v>173</v>
      </c>
      <c r="I4" s="49" t="s">
        <v>174</v>
      </c>
      <c r="J4" s="49" t="s">
        <v>175</v>
      </c>
      <c r="K4" s="49" t="s">
        <v>176</v>
      </c>
      <c r="L4" s="49" t="s">
        <v>219</v>
      </c>
    </row>
    <row r="5" spans="2:12" ht="15" customHeight="1" x14ac:dyDescent="0.35">
      <c r="B5" s="8" t="s">
        <v>220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13.5" customHeight="1" x14ac:dyDescent="0.35">
      <c r="B6" s="18" t="s">
        <v>221</v>
      </c>
      <c r="C6" s="53">
        <f>IF(10&gt;=Assumptions!C41,Assumptions!C42,Assumptions!C31)</f>
        <v>5</v>
      </c>
      <c r="D6" s="53">
        <f>IF(50&gt;=Assumptions!C41,Assumptions!C42,Assumptions!C31)</f>
        <v>5</v>
      </c>
      <c r="E6" s="53">
        <f>IF(100&gt;=Assumptions!C41,Assumptions!C42,Assumptions!C31)</f>
        <v>5</v>
      </c>
      <c r="F6" s="53">
        <f>IF(200&gt;=Assumptions!C41,Assumptions!C42,Assumptions!C31)</f>
        <v>10</v>
      </c>
      <c r="G6" s="53">
        <f>IF(500&gt;=Assumptions!C41,Assumptions!C42,Assumptions!C31)</f>
        <v>10</v>
      </c>
      <c r="H6" s="53">
        <f>IF(1000&gt;=Assumptions!C41,Assumptions!C42,Assumptions!C31)</f>
        <v>10</v>
      </c>
      <c r="I6" s="53">
        <f>IF(2000&gt;=Assumptions!C41,Assumptions!C42,Assumptions!C31)</f>
        <v>10</v>
      </c>
      <c r="J6" s="53">
        <f>IF(5000&gt;=Assumptions!C41,Assumptions!C42,Assumptions!C31)</f>
        <v>10</v>
      </c>
      <c r="K6" s="53">
        <f>IF(10000&gt;=Assumptions!C41,Assumptions!C42,Assumptions!C31)</f>
        <v>10</v>
      </c>
      <c r="L6" s="27" t="s">
        <v>222</v>
      </c>
    </row>
    <row r="7" spans="2:12" ht="13.5" customHeight="1" x14ac:dyDescent="0.35">
      <c r="B7" s="18" t="s">
        <v>223</v>
      </c>
      <c r="C7" s="53">
        <f>IF(10&gt;=Assumptions!C43,Assumptions!C44,IF(10&gt;=Assumptions!C37,Assumptions!C38,Assumptions!C32))</f>
        <v>0</v>
      </c>
      <c r="D7" s="53">
        <f>IF(50&gt;=Assumptions!C43,Assumptions!C44,IF(50&gt;=Assumptions!C37,Assumptions!C38,Assumptions!C32))</f>
        <v>0</v>
      </c>
      <c r="E7" s="53">
        <f>IF(100&gt;=Assumptions!C43,Assumptions!C44,IF(100&gt;=Assumptions!C37,Assumptions!C38,Assumptions!C32))</f>
        <v>25</v>
      </c>
      <c r="F7" s="53">
        <f>IF(200&gt;=Assumptions!C43,Assumptions!C44,IF(200&gt;=Assumptions!C37,Assumptions!C38,Assumptions!C32))</f>
        <v>25</v>
      </c>
      <c r="G7" s="53">
        <f>IF(500&gt;=Assumptions!C43,Assumptions!C44,IF(500&gt;=Assumptions!C37,Assumptions!C38,Assumptions!C32))</f>
        <v>25</v>
      </c>
      <c r="H7" s="53">
        <f>IF(1000&gt;=Assumptions!C43,Assumptions!C44,IF(1000&gt;=Assumptions!C37,Assumptions!C38,Assumptions!C32))</f>
        <v>599</v>
      </c>
      <c r="I7" s="53">
        <f>IF(2000&gt;=Assumptions!C43,Assumptions!C44,IF(2000&gt;=Assumptions!C37,Assumptions!C38,Assumptions!C32))</f>
        <v>599</v>
      </c>
      <c r="J7" s="53">
        <f>IF(5000&gt;=Assumptions!C43,Assumptions!C44,IF(5000&gt;=Assumptions!C37,Assumptions!C38,Assumptions!C32))</f>
        <v>599</v>
      </c>
      <c r="K7" s="53">
        <f>IF(10000&gt;=Assumptions!C43,Assumptions!C44,IF(10000&gt;=Assumptions!C37,Assumptions!C38,Assumptions!C32))</f>
        <v>599</v>
      </c>
      <c r="L7" s="27" t="s">
        <v>224</v>
      </c>
    </row>
    <row r="8" spans="2:12" ht="13.5" customHeight="1" x14ac:dyDescent="0.35">
      <c r="B8" s="18" t="s">
        <v>225</v>
      </c>
      <c r="C8" s="53">
        <f>IF(10&gt;=Assumptions!C39,Assumptions!C40,Assumptions!C33)</f>
        <v>0</v>
      </c>
      <c r="D8" s="53">
        <f>IF(50&gt;=Assumptions!C39,Assumptions!C40,Assumptions!C33)</f>
        <v>0</v>
      </c>
      <c r="E8" s="53">
        <f>IF(100&gt;=Assumptions!C39,Assumptions!C40,Assumptions!C33)</f>
        <v>0</v>
      </c>
      <c r="F8" s="53">
        <f>IF(200&gt;=Assumptions!C39,Assumptions!C40,Assumptions!C33)</f>
        <v>0</v>
      </c>
      <c r="G8" s="53">
        <f>IF(500&gt;=Assumptions!C39,Assumptions!C40,Assumptions!C33)</f>
        <v>20</v>
      </c>
      <c r="H8" s="53">
        <f>IF(1000&gt;=Assumptions!C39,Assumptions!C40,Assumptions!C33)</f>
        <v>20</v>
      </c>
      <c r="I8" s="53">
        <f>IF(2000&gt;=Assumptions!C39,Assumptions!C40,Assumptions!C33)</f>
        <v>20</v>
      </c>
      <c r="J8" s="53">
        <f>IF(5000&gt;=Assumptions!C39,Assumptions!C40,Assumptions!C33)</f>
        <v>20</v>
      </c>
      <c r="K8" s="53">
        <f>IF(10000&gt;=Assumptions!C39,Assumptions!C40,Assumptions!C33)</f>
        <v>20</v>
      </c>
      <c r="L8" s="27" t="s">
        <v>226</v>
      </c>
    </row>
    <row r="9" spans="2:12" ht="13.5" customHeight="1" x14ac:dyDescent="0.35">
      <c r="B9" s="18" t="s">
        <v>227</v>
      </c>
      <c r="C9" s="53">
        <f>Assumptions!C34</f>
        <v>20</v>
      </c>
      <c r="D9" s="53">
        <f>Assumptions!C34</f>
        <v>20</v>
      </c>
      <c r="E9" s="53">
        <f>Assumptions!C34</f>
        <v>20</v>
      </c>
      <c r="F9" s="53">
        <f>Assumptions!C34</f>
        <v>20</v>
      </c>
      <c r="G9" s="53">
        <f>Assumptions!C34</f>
        <v>20</v>
      </c>
      <c r="H9" s="53">
        <f>Assumptions!C34</f>
        <v>20</v>
      </c>
      <c r="I9" s="53">
        <f>Assumptions!C34</f>
        <v>20</v>
      </c>
      <c r="J9" s="53">
        <f>Assumptions!C34</f>
        <v>20</v>
      </c>
      <c r="K9" s="53">
        <f>Assumptions!C34</f>
        <v>20</v>
      </c>
      <c r="L9" s="27" t="s">
        <v>228</v>
      </c>
    </row>
    <row r="10" spans="2:12" ht="13.5" customHeight="1" x14ac:dyDescent="0.35">
      <c r="B10" s="51" t="s">
        <v>229</v>
      </c>
      <c r="C10" s="54">
        <f t="shared" ref="C10:K10" si="0">C6+C7+C8+C9</f>
        <v>25</v>
      </c>
      <c r="D10" s="54">
        <f t="shared" si="0"/>
        <v>25</v>
      </c>
      <c r="E10" s="54">
        <f t="shared" si="0"/>
        <v>50</v>
      </c>
      <c r="F10" s="54">
        <f t="shared" si="0"/>
        <v>55</v>
      </c>
      <c r="G10" s="54">
        <f t="shared" si="0"/>
        <v>75</v>
      </c>
      <c r="H10" s="54">
        <f t="shared" si="0"/>
        <v>649</v>
      </c>
      <c r="I10" s="54">
        <f t="shared" si="0"/>
        <v>649</v>
      </c>
      <c r="J10" s="54">
        <f t="shared" si="0"/>
        <v>649</v>
      </c>
      <c r="K10" s="54">
        <f t="shared" si="0"/>
        <v>649</v>
      </c>
      <c r="L10" s="27" t="s">
        <v>79</v>
      </c>
    </row>
    <row r="12" spans="2:12" ht="15" customHeight="1" x14ac:dyDescent="0.35">
      <c r="B12" s="6" t="s">
        <v>230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2:12" ht="13.5" customHeight="1" x14ac:dyDescent="0.35">
      <c r="B13" s="23" t="s">
        <v>231</v>
      </c>
      <c r="C13" s="58">
        <f>C6*Assumptions!C47</f>
        <v>86750</v>
      </c>
      <c r="D13" s="58">
        <f>D6*Assumptions!C47</f>
        <v>86750</v>
      </c>
      <c r="E13" s="58">
        <f>E6*Assumptions!C47</f>
        <v>86750</v>
      </c>
      <c r="F13" s="58">
        <f>F6*Assumptions!C47</f>
        <v>173500</v>
      </c>
      <c r="G13" s="58">
        <f>G6*Assumptions!C47</f>
        <v>173500</v>
      </c>
      <c r="H13" s="58">
        <f>H6*Assumptions!C47</f>
        <v>173500</v>
      </c>
      <c r="I13" s="58">
        <f>I6*Assumptions!C47</f>
        <v>173500</v>
      </c>
      <c r="J13" s="58">
        <f>J6*Assumptions!C47</f>
        <v>173500</v>
      </c>
      <c r="K13" s="58">
        <f>K6*Assumptions!C47</f>
        <v>173500</v>
      </c>
      <c r="L13" s="27" t="s">
        <v>206</v>
      </c>
    </row>
    <row r="14" spans="2:12" ht="13.5" customHeight="1" x14ac:dyDescent="0.35">
      <c r="B14" s="23" t="s">
        <v>232</v>
      </c>
      <c r="C14" s="58">
        <f>C7*Assumptions!C47</f>
        <v>0</v>
      </c>
      <c r="D14" s="58">
        <f>D7*Assumptions!C47</f>
        <v>0</v>
      </c>
      <c r="E14" s="58">
        <f>E7*Assumptions!C47</f>
        <v>433750</v>
      </c>
      <c r="F14" s="58">
        <f>F7*Assumptions!C47</f>
        <v>433750</v>
      </c>
      <c r="G14" s="58">
        <f>G7*Assumptions!C47</f>
        <v>433750</v>
      </c>
      <c r="H14" s="58">
        <f>H7*Assumptions!C47</f>
        <v>10392650</v>
      </c>
      <c r="I14" s="58">
        <f>I7*Assumptions!C47</f>
        <v>10392650</v>
      </c>
      <c r="J14" s="58">
        <f>J7*Assumptions!C47</f>
        <v>10392650</v>
      </c>
      <c r="K14" s="58">
        <f>K7*Assumptions!C47</f>
        <v>10392650</v>
      </c>
      <c r="L14" s="27" t="s">
        <v>206</v>
      </c>
    </row>
    <row r="15" spans="2:12" ht="13.5" customHeight="1" x14ac:dyDescent="0.35">
      <c r="B15" s="23" t="s">
        <v>233</v>
      </c>
      <c r="C15" s="58">
        <f>C8*Assumptions!C47</f>
        <v>0</v>
      </c>
      <c r="D15" s="58">
        <f>D8*Assumptions!C47</f>
        <v>0</v>
      </c>
      <c r="E15" s="58">
        <f>E8*Assumptions!C47</f>
        <v>0</v>
      </c>
      <c r="F15" s="58">
        <f>F8*Assumptions!C47</f>
        <v>0</v>
      </c>
      <c r="G15" s="58">
        <f>G8*Assumptions!C47</f>
        <v>347000</v>
      </c>
      <c r="H15" s="58">
        <f>H8*Assumptions!C47</f>
        <v>347000</v>
      </c>
      <c r="I15" s="58">
        <f>I8*Assumptions!C47</f>
        <v>347000</v>
      </c>
      <c r="J15" s="58">
        <f>J8*Assumptions!C47</f>
        <v>347000</v>
      </c>
      <c r="K15" s="58">
        <f>K8*Assumptions!C47</f>
        <v>347000</v>
      </c>
      <c r="L15" s="27" t="s">
        <v>206</v>
      </c>
    </row>
    <row r="16" spans="2:12" ht="13.5" customHeight="1" x14ac:dyDescent="0.35">
      <c r="B16" s="23" t="s">
        <v>234</v>
      </c>
      <c r="C16" s="58">
        <f>C9*Assumptions!C47</f>
        <v>347000</v>
      </c>
      <c r="D16" s="58">
        <f>D9*Assumptions!C47</f>
        <v>347000</v>
      </c>
      <c r="E16" s="58">
        <f>E9*Assumptions!C47</f>
        <v>347000</v>
      </c>
      <c r="F16" s="58">
        <f>F9*Assumptions!C47</f>
        <v>347000</v>
      </c>
      <c r="G16" s="58">
        <f>G9*Assumptions!C47</f>
        <v>347000</v>
      </c>
      <c r="H16" s="58">
        <f>H9*Assumptions!C47</f>
        <v>347000</v>
      </c>
      <c r="I16" s="58">
        <f>I9*Assumptions!C47</f>
        <v>347000</v>
      </c>
      <c r="J16" s="58">
        <f>J9*Assumptions!C47</f>
        <v>347000</v>
      </c>
      <c r="K16" s="58">
        <f>K9*Assumptions!C47</f>
        <v>347000</v>
      </c>
      <c r="L16" s="27" t="s">
        <v>206</v>
      </c>
    </row>
    <row r="17" spans="2:12" ht="13.5" customHeight="1" x14ac:dyDescent="0.35">
      <c r="B17" s="56" t="s">
        <v>235</v>
      </c>
      <c r="C17" s="57">
        <f>C10*Assumptions!C47</f>
        <v>433750</v>
      </c>
      <c r="D17" s="57">
        <f>D10*Assumptions!C47</f>
        <v>433750</v>
      </c>
      <c r="E17" s="57">
        <f>E10*Assumptions!C47</f>
        <v>867500</v>
      </c>
      <c r="F17" s="57">
        <f>F10*Assumptions!C47</f>
        <v>954250</v>
      </c>
      <c r="G17" s="57">
        <f>G10*Assumptions!C47</f>
        <v>1301250</v>
      </c>
      <c r="H17" s="57">
        <f>H10*Assumptions!C47</f>
        <v>11260150</v>
      </c>
      <c r="I17" s="57">
        <f>I10*Assumptions!C47</f>
        <v>11260150</v>
      </c>
      <c r="J17" s="57">
        <f>J10*Assumptions!C47</f>
        <v>11260150</v>
      </c>
      <c r="K17" s="57">
        <f>K10*Assumptions!C47</f>
        <v>11260150</v>
      </c>
      <c r="L17" s="27" t="s">
        <v>206</v>
      </c>
    </row>
    <row r="19" spans="2:12" ht="15" customHeight="1" x14ac:dyDescent="0.35">
      <c r="B19" s="5" t="s">
        <v>236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13.5" customHeight="1" x14ac:dyDescent="0.35">
      <c r="B20" s="18" t="s">
        <v>237</v>
      </c>
      <c r="C20" s="62" t="str">
        <f>IF(10&gt;=Assumptions!C41,"Scale $10/mo","Hobby $5/mo")</f>
        <v>Hobby $5/mo</v>
      </c>
      <c r="D20" s="62" t="str">
        <f>IF(50&gt;=Assumptions!C41,"Scale $10/mo","Hobby $5/mo")</f>
        <v>Hobby $5/mo</v>
      </c>
      <c r="E20" s="62" t="str">
        <f>IF(100&gt;=Assumptions!C41,"Scale $10/mo","Hobby $5/mo")</f>
        <v>Hobby $5/mo</v>
      </c>
      <c r="F20" s="62" t="str">
        <f>IF(200&gt;=Assumptions!C41,"Scale $10/mo","Hobby $5/mo")</f>
        <v>Scale $10/mo</v>
      </c>
      <c r="G20" s="62" t="str">
        <f>IF(500&gt;=Assumptions!C41,"Scale $10/mo","Hobby $5/mo")</f>
        <v>Scale $10/mo</v>
      </c>
      <c r="H20" s="62" t="str">
        <f>IF(1000&gt;=Assumptions!C41,"Scale $10/mo","Hobby $5/mo")</f>
        <v>Scale $10/mo</v>
      </c>
      <c r="I20" s="62" t="str">
        <f>IF(2000&gt;=Assumptions!C41,"Scale $10/mo","Hobby $5/mo")</f>
        <v>Scale $10/mo</v>
      </c>
      <c r="J20" s="62" t="str">
        <f>IF(5000&gt;=Assumptions!C41,"Scale $10/mo","Hobby $5/mo")</f>
        <v>Scale $10/mo</v>
      </c>
      <c r="K20" s="62" t="str">
        <f>IF(10000&gt;=Assumptions!C41,"Scale $10/mo","Hobby $5/mo")</f>
        <v>Scale $10/mo</v>
      </c>
    </row>
    <row r="21" spans="2:12" ht="13.5" customHeight="1" x14ac:dyDescent="0.35">
      <c r="B21" s="18" t="s">
        <v>238</v>
      </c>
      <c r="C21" s="62" t="str">
        <f>IF(10&gt;=Assumptions!C43,"Team $599/mo",IF(10&gt;=Assumptions!C37,"Pro $25/mo","Free"))</f>
        <v>Free</v>
      </c>
      <c r="D21" s="62" t="str">
        <f>IF(50&gt;=Assumptions!C43,"Team $599/mo",IF(50&gt;=Assumptions!C37,"Pro $25/mo","Free"))</f>
        <v>Free</v>
      </c>
      <c r="E21" s="62" t="str">
        <f>IF(100&gt;=Assumptions!C43,"Team $599/mo",IF(100&gt;=Assumptions!C37,"Pro $25/mo","Free"))</f>
        <v>Pro $25/mo</v>
      </c>
      <c r="F21" s="62" t="str">
        <f>IF(200&gt;=Assumptions!C43,"Team $599/mo",IF(200&gt;=Assumptions!C37,"Pro $25/mo","Free"))</f>
        <v>Pro $25/mo</v>
      </c>
      <c r="G21" s="62" t="str">
        <f>IF(500&gt;=Assumptions!C43,"Team $599/mo",IF(500&gt;=Assumptions!C37,"Pro $25/mo","Free"))</f>
        <v>Pro $25/mo</v>
      </c>
      <c r="H21" s="62" t="str">
        <f>IF(1000&gt;=Assumptions!C43,"Team $599/mo",IF(1000&gt;=Assumptions!C37,"Pro $25/mo","Free"))</f>
        <v>Team $599/mo</v>
      </c>
      <c r="I21" s="62" t="str">
        <f>IF(2000&gt;=Assumptions!C43,"Team $599/mo",IF(2000&gt;=Assumptions!C37,"Pro $25/mo","Free"))</f>
        <v>Team $599/mo</v>
      </c>
      <c r="J21" s="62" t="str">
        <f>IF(5000&gt;=Assumptions!C43,"Team $599/mo",IF(5000&gt;=Assumptions!C37,"Pro $25/mo","Free"))</f>
        <v>Team $599/mo</v>
      </c>
      <c r="K21" s="62" t="str">
        <f>IF(10000&gt;=Assumptions!C43,"Team $599/mo",IF(10000&gt;=Assumptions!C37,"Pro $25/mo","Free"))</f>
        <v>Team $599/mo</v>
      </c>
    </row>
    <row r="22" spans="2:12" ht="13.5" customHeight="1" x14ac:dyDescent="0.35">
      <c r="B22" s="18" t="s">
        <v>239</v>
      </c>
      <c r="C22" s="62" t="str">
        <f>IF(10&gt;=Assumptions!C39,"Pro $20/mo","Free")</f>
        <v>Free</v>
      </c>
      <c r="D22" s="62" t="str">
        <f>IF(50&gt;=Assumptions!C39,"Pro $20/mo","Free")</f>
        <v>Free</v>
      </c>
      <c r="E22" s="62" t="str">
        <f>IF(100&gt;=Assumptions!C39,"Pro $20/mo","Free")</f>
        <v>Free</v>
      </c>
      <c r="F22" s="62" t="str">
        <f>IF(200&gt;=Assumptions!C39,"Pro $20/mo","Free")</f>
        <v>Free</v>
      </c>
      <c r="G22" s="62" t="str">
        <f>IF(500&gt;=Assumptions!C39,"Pro $20/mo","Free")</f>
        <v>Pro $20/mo</v>
      </c>
      <c r="H22" s="62" t="str">
        <f>IF(1000&gt;=Assumptions!C39,"Pro $20/mo","Free")</f>
        <v>Pro $20/mo</v>
      </c>
      <c r="I22" s="62" t="str">
        <f>IF(2000&gt;=Assumptions!C39,"Pro $20/mo","Free")</f>
        <v>Pro $20/mo</v>
      </c>
      <c r="J22" s="62" t="str">
        <f>IF(5000&gt;=Assumptions!C39,"Pro $20/mo","Free")</f>
        <v>Pro $20/mo</v>
      </c>
      <c r="K22" s="62" t="str">
        <f>IF(10000&gt;=Assumptions!C39,"Pro $20/mo","Free")</f>
        <v>Pro $20/mo</v>
      </c>
    </row>
  </sheetData>
  <mergeCells count="5">
    <mergeCell ref="B1:L1"/>
    <mergeCell ref="B2:L2"/>
    <mergeCell ref="B5:L5"/>
    <mergeCell ref="B12:L12"/>
    <mergeCell ref="B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38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5" customWidth="1"/>
    <col min="3" max="11" width="12" customWidth="1"/>
    <col min="12" max="12" width="14" customWidth="1"/>
  </cols>
  <sheetData>
    <row r="1" spans="2:12" ht="16.149999999999999" customHeight="1" x14ac:dyDescent="0.35">
      <c r="B1" s="10" t="s">
        <v>240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5" customHeight="1" x14ac:dyDescent="0.35">
      <c r="B2" s="9" t="s">
        <v>241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21" x14ac:dyDescent="0.35">
      <c r="B4" s="48" t="s">
        <v>167</v>
      </c>
      <c r="C4" s="49" t="s">
        <v>168</v>
      </c>
      <c r="D4" s="49" t="s">
        <v>169</v>
      </c>
      <c r="E4" s="49" t="s">
        <v>170</v>
      </c>
      <c r="F4" s="49" t="s">
        <v>171</v>
      </c>
      <c r="G4" s="49" t="s">
        <v>172</v>
      </c>
      <c r="H4" s="49" t="s">
        <v>173</v>
      </c>
      <c r="I4" s="49" t="s">
        <v>174</v>
      </c>
      <c r="J4" s="49" t="s">
        <v>175</v>
      </c>
      <c r="K4" s="49" t="s">
        <v>176</v>
      </c>
      <c r="L4" s="49" t="s">
        <v>177</v>
      </c>
    </row>
    <row r="5" spans="2:12" ht="15" customHeight="1" x14ac:dyDescent="0.35">
      <c r="B5" s="8" t="s">
        <v>242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2:12" ht="13.5" customHeight="1" x14ac:dyDescent="0.35">
      <c r="B6" s="18" t="s">
        <v>243</v>
      </c>
      <c r="C6" s="63">
        <v>0.6</v>
      </c>
      <c r="D6" s="63">
        <v>0.6</v>
      </c>
      <c r="E6" s="63">
        <v>0.6</v>
      </c>
      <c r="F6" s="63">
        <v>0.6</v>
      </c>
      <c r="G6" s="63">
        <v>0.6</v>
      </c>
      <c r="H6" s="63">
        <v>0.6</v>
      </c>
      <c r="I6" s="63">
        <v>0.6</v>
      </c>
      <c r="J6" s="63">
        <v>0.6</v>
      </c>
      <c r="K6" s="63">
        <v>0.6</v>
      </c>
      <c r="L6" s="27" t="s">
        <v>36</v>
      </c>
    </row>
    <row r="7" spans="2:12" ht="13.5" customHeight="1" x14ac:dyDescent="0.35">
      <c r="B7" s="18" t="s">
        <v>244</v>
      </c>
      <c r="C7" s="63">
        <v>0.25</v>
      </c>
      <c r="D7" s="63">
        <v>0.25</v>
      </c>
      <c r="E7" s="63">
        <v>0.25</v>
      </c>
      <c r="F7" s="63">
        <v>0.25</v>
      </c>
      <c r="G7" s="63">
        <v>0.25</v>
      </c>
      <c r="H7" s="63">
        <v>0.25</v>
      </c>
      <c r="I7" s="63">
        <v>0.25</v>
      </c>
      <c r="J7" s="63">
        <v>0.25</v>
      </c>
      <c r="K7" s="63">
        <v>0.25</v>
      </c>
      <c r="L7" s="27" t="s">
        <v>36</v>
      </c>
    </row>
    <row r="8" spans="2:12" ht="13.5" customHeight="1" x14ac:dyDescent="0.35">
      <c r="B8" s="18" t="s">
        <v>245</v>
      </c>
      <c r="C8" s="63">
        <v>0.12</v>
      </c>
      <c r="D8" s="63">
        <v>0.12</v>
      </c>
      <c r="E8" s="63">
        <v>0.12</v>
      </c>
      <c r="F8" s="63">
        <v>0.12</v>
      </c>
      <c r="G8" s="63">
        <v>0.12</v>
      </c>
      <c r="H8" s="63">
        <v>0.12</v>
      </c>
      <c r="I8" s="63">
        <v>0.12</v>
      </c>
      <c r="J8" s="63">
        <v>0.12</v>
      </c>
      <c r="K8" s="63">
        <v>0.12</v>
      </c>
      <c r="L8" s="27" t="s">
        <v>36</v>
      </c>
    </row>
    <row r="9" spans="2:12" ht="13.5" customHeight="1" x14ac:dyDescent="0.35">
      <c r="B9" s="18" t="s">
        <v>246</v>
      </c>
      <c r="C9" s="63">
        <v>0.03</v>
      </c>
      <c r="D9" s="63">
        <v>0.03</v>
      </c>
      <c r="E9" s="63">
        <v>0.03</v>
      </c>
      <c r="F9" s="63">
        <v>0.03</v>
      </c>
      <c r="G9" s="63">
        <v>0.03</v>
      </c>
      <c r="H9" s="63">
        <v>0.03</v>
      </c>
      <c r="I9" s="63">
        <v>0.03</v>
      </c>
      <c r="J9" s="63">
        <v>0.03</v>
      </c>
      <c r="K9" s="63">
        <v>0.03</v>
      </c>
      <c r="L9" s="27" t="s">
        <v>36</v>
      </c>
    </row>
    <row r="10" spans="2:12" ht="13.5" customHeight="1" x14ac:dyDescent="0.35">
      <c r="B10" s="64" t="s">
        <v>247</v>
      </c>
      <c r="C10" s="65">
        <f t="shared" ref="C10:K10" si="0">C6+C7+C8+C9</f>
        <v>1</v>
      </c>
      <c r="D10" s="65">
        <f t="shared" si="0"/>
        <v>1</v>
      </c>
      <c r="E10" s="65">
        <f t="shared" si="0"/>
        <v>1</v>
      </c>
      <c r="F10" s="65">
        <f t="shared" si="0"/>
        <v>1</v>
      </c>
      <c r="G10" s="65">
        <f t="shared" si="0"/>
        <v>1</v>
      </c>
      <c r="H10" s="65">
        <f t="shared" si="0"/>
        <v>1</v>
      </c>
      <c r="I10" s="65">
        <f t="shared" si="0"/>
        <v>1</v>
      </c>
      <c r="J10" s="65">
        <f t="shared" si="0"/>
        <v>1</v>
      </c>
      <c r="K10" s="65">
        <f t="shared" si="0"/>
        <v>1</v>
      </c>
    </row>
    <row r="12" spans="2:12" ht="15" customHeight="1" x14ac:dyDescent="0.35">
      <c r="B12" s="8" t="s">
        <v>248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2:12" ht="13.5" customHeight="1" x14ac:dyDescent="0.35">
      <c r="B13" s="18" t="s">
        <v>249</v>
      </c>
      <c r="C13" s="66">
        <f>ROUND(10*C6,0)</f>
        <v>6</v>
      </c>
      <c r="D13" s="66">
        <f>ROUND(50*D6,0)</f>
        <v>30</v>
      </c>
      <c r="E13" s="66">
        <f>ROUND(100*E6,0)</f>
        <v>60</v>
      </c>
      <c r="F13" s="66">
        <f>ROUND(200*F6,0)</f>
        <v>120</v>
      </c>
      <c r="G13" s="66">
        <f>ROUND(500*G6,0)</f>
        <v>300</v>
      </c>
      <c r="H13" s="66">
        <f>ROUND(1000*H6,0)</f>
        <v>600</v>
      </c>
      <c r="I13" s="66">
        <f>ROUND(2000*I6,0)</f>
        <v>1200</v>
      </c>
      <c r="J13" s="66">
        <f>ROUND(5000*J6,0)</f>
        <v>3000</v>
      </c>
      <c r="K13" s="66">
        <f>ROUND(10000*K6,0)</f>
        <v>6000</v>
      </c>
      <c r="L13" s="27" t="s">
        <v>89</v>
      </c>
    </row>
    <row r="14" spans="2:12" ht="13.5" customHeight="1" x14ac:dyDescent="0.35">
      <c r="B14" s="18" t="s">
        <v>250</v>
      </c>
      <c r="C14" s="66">
        <f>ROUND(10*C7,0)</f>
        <v>3</v>
      </c>
      <c r="D14" s="66">
        <f>ROUND(50*D7,0)</f>
        <v>13</v>
      </c>
      <c r="E14" s="66">
        <f>ROUND(100*E7,0)</f>
        <v>25</v>
      </c>
      <c r="F14" s="66">
        <f>ROUND(200*F7,0)</f>
        <v>50</v>
      </c>
      <c r="G14" s="66">
        <f>ROUND(500*G7,0)</f>
        <v>125</v>
      </c>
      <c r="H14" s="66">
        <f>ROUND(1000*H7,0)</f>
        <v>250</v>
      </c>
      <c r="I14" s="66">
        <f>ROUND(2000*I7,0)</f>
        <v>500</v>
      </c>
      <c r="J14" s="66">
        <f>ROUND(5000*J7,0)</f>
        <v>1250</v>
      </c>
      <c r="K14" s="66">
        <f>ROUND(10000*K7,0)</f>
        <v>2500</v>
      </c>
      <c r="L14" s="27" t="s">
        <v>89</v>
      </c>
    </row>
    <row r="15" spans="2:12" ht="13.5" customHeight="1" x14ac:dyDescent="0.35">
      <c r="B15" s="18" t="s">
        <v>251</v>
      </c>
      <c r="C15" s="66">
        <f>ROUND(10*C8,0)</f>
        <v>1</v>
      </c>
      <c r="D15" s="66">
        <f>ROUND(50*D8,0)</f>
        <v>6</v>
      </c>
      <c r="E15" s="66">
        <f>ROUND(100*E8,0)</f>
        <v>12</v>
      </c>
      <c r="F15" s="66">
        <f>ROUND(200*F8,0)</f>
        <v>24</v>
      </c>
      <c r="G15" s="66">
        <f>ROUND(500*G8,0)</f>
        <v>60</v>
      </c>
      <c r="H15" s="66">
        <f>ROUND(1000*H8,0)</f>
        <v>120</v>
      </c>
      <c r="I15" s="66">
        <f>ROUND(2000*I8,0)</f>
        <v>240</v>
      </c>
      <c r="J15" s="66">
        <f>ROUND(5000*J8,0)</f>
        <v>600</v>
      </c>
      <c r="K15" s="66">
        <f>ROUND(10000*K8,0)</f>
        <v>1200</v>
      </c>
      <c r="L15" s="27" t="s">
        <v>89</v>
      </c>
    </row>
    <row r="16" spans="2:12" ht="13.5" customHeight="1" x14ac:dyDescent="0.35">
      <c r="B16" s="18" t="s">
        <v>252</v>
      </c>
      <c r="C16" s="66">
        <f>ROUND(10*C9,0)</f>
        <v>0</v>
      </c>
      <c r="D16" s="66">
        <f>ROUND(50*D9,0)</f>
        <v>2</v>
      </c>
      <c r="E16" s="66">
        <f>ROUND(100*E9,0)</f>
        <v>3</v>
      </c>
      <c r="F16" s="66">
        <f>ROUND(200*F9,0)</f>
        <v>6</v>
      </c>
      <c r="G16" s="66">
        <f>ROUND(500*G9,0)</f>
        <v>15</v>
      </c>
      <c r="H16" s="66">
        <f>ROUND(1000*H9,0)</f>
        <v>30</v>
      </c>
      <c r="I16" s="66">
        <f>ROUND(2000*I9,0)</f>
        <v>60</v>
      </c>
      <c r="J16" s="66">
        <f>ROUND(5000*J9,0)</f>
        <v>150</v>
      </c>
      <c r="K16" s="66">
        <f>ROUND(10000*K9,0)</f>
        <v>300</v>
      </c>
      <c r="L16" s="27" t="s">
        <v>89</v>
      </c>
    </row>
    <row r="17" spans="2:12" ht="13.5" customHeight="1" x14ac:dyDescent="0.35">
      <c r="B17" s="51" t="s">
        <v>253</v>
      </c>
      <c r="C17" s="52">
        <f t="shared" ref="C17:K17" si="1">C14+C15+C16</f>
        <v>4</v>
      </c>
      <c r="D17" s="52">
        <f t="shared" si="1"/>
        <v>21</v>
      </c>
      <c r="E17" s="52">
        <f t="shared" si="1"/>
        <v>40</v>
      </c>
      <c r="F17" s="52">
        <f t="shared" si="1"/>
        <v>80</v>
      </c>
      <c r="G17" s="52">
        <f t="shared" si="1"/>
        <v>200</v>
      </c>
      <c r="H17" s="52">
        <f t="shared" si="1"/>
        <v>400</v>
      </c>
      <c r="I17" s="52">
        <f t="shared" si="1"/>
        <v>800</v>
      </c>
      <c r="J17" s="52">
        <f t="shared" si="1"/>
        <v>2000</v>
      </c>
      <c r="K17" s="52">
        <f t="shared" si="1"/>
        <v>4000</v>
      </c>
      <c r="L17" s="27" t="s">
        <v>89</v>
      </c>
    </row>
    <row r="19" spans="2:12" ht="15" customHeight="1" x14ac:dyDescent="0.35">
      <c r="B19" s="8" t="s">
        <v>254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12" ht="13.5" customHeight="1" x14ac:dyDescent="0.35">
      <c r="B20" s="18" t="s">
        <v>255</v>
      </c>
      <c r="C20" s="50">
        <f>'Pricing Plans'!C5</f>
        <v>0</v>
      </c>
      <c r="D20" s="50">
        <f>'Pricing Plans'!C5</f>
        <v>0</v>
      </c>
      <c r="E20" s="50">
        <f>'Pricing Plans'!C5</f>
        <v>0</v>
      </c>
      <c r="F20" s="50">
        <f>'Pricing Plans'!C5</f>
        <v>0</v>
      </c>
      <c r="G20" s="50">
        <f>'Pricing Plans'!C5</f>
        <v>0</v>
      </c>
      <c r="H20" s="50">
        <f>'Pricing Plans'!C5</f>
        <v>0</v>
      </c>
      <c r="I20" s="50">
        <f>'Pricing Plans'!C5</f>
        <v>0</v>
      </c>
      <c r="J20" s="50">
        <f>'Pricing Plans'!C5</f>
        <v>0</v>
      </c>
      <c r="K20" s="50">
        <f>'Pricing Plans'!C5</f>
        <v>0</v>
      </c>
      <c r="L20" s="27" t="s">
        <v>206</v>
      </c>
    </row>
    <row r="21" spans="2:12" ht="13.5" customHeight="1" x14ac:dyDescent="0.35">
      <c r="B21" s="18" t="s">
        <v>256</v>
      </c>
      <c r="C21" s="50">
        <f>'Pricing Plans'!D5</f>
        <v>9999</v>
      </c>
      <c r="D21" s="50">
        <f>'Pricing Plans'!D5</f>
        <v>9999</v>
      </c>
      <c r="E21" s="50">
        <f>'Pricing Plans'!D5</f>
        <v>9999</v>
      </c>
      <c r="F21" s="50">
        <f>'Pricing Plans'!D5</f>
        <v>9999</v>
      </c>
      <c r="G21" s="50">
        <f>'Pricing Plans'!D5</f>
        <v>9999</v>
      </c>
      <c r="H21" s="50">
        <f>'Pricing Plans'!D5</f>
        <v>9999</v>
      </c>
      <c r="I21" s="50">
        <f>'Pricing Plans'!D5</f>
        <v>9999</v>
      </c>
      <c r="J21" s="50">
        <f>'Pricing Plans'!D5</f>
        <v>9999</v>
      </c>
      <c r="K21" s="50">
        <f>'Pricing Plans'!D5</f>
        <v>9999</v>
      </c>
      <c r="L21" s="27" t="s">
        <v>206</v>
      </c>
    </row>
    <row r="22" spans="2:12" ht="13.5" customHeight="1" x14ac:dyDescent="0.35">
      <c r="B22" s="18" t="s">
        <v>257</v>
      </c>
      <c r="C22" s="50">
        <f>'Pricing Plans'!E5</f>
        <v>24999</v>
      </c>
      <c r="D22" s="50">
        <f>'Pricing Plans'!E5</f>
        <v>24999</v>
      </c>
      <c r="E22" s="50">
        <f>'Pricing Plans'!E5</f>
        <v>24999</v>
      </c>
      <c r="F22" s="50">
        <f>'Pricing Plans'!E5</f>
        <v>24999</v>
      </c>
      <c r="G22" s="50">
        <f>'Pricing Plans'!E5</f>
        <v>24999</v>
      </c>
      <c r="H22" s="50">
        <f>'Pricing Plans'!E5</f>
        <v>24999</v>
      </c>
      <c r="I22" s="50">
        <f>'Pricing Plans'!E5</f>
        <v>24999</v>
      </c>
      <c r="J22" s="50">
        <f>'Pricing Plans'!E5</f>
        <v>24999</v>
      </c>
      <c r="K22" s="50">
        <f>'Pricing Plans'!E5</f>
        <v>24999</v>
      </c>
      <c r="L22" s="27" t="s">
        <v>206</v>
      </c>
    </row>
    <row r="23" spans="2:12" ht="13.5" customHeight="1" x14ac:dyDescent="0.35">
      <c r="B23" s="18" t="s">
        <v>258</v>
      </c>
      <c r="C23" s="50">
        <f>'Pricing Plans'!F5</f>
        <v>34999</v>
      </c>
      <c r="D23" s="50">
        <f>'Pricing Plans'!F5</f>
        <v>34999</v>
      </c>
      <c r="E23" s="50">
        <f>'Pricing Plans'!F5</f>
        <v>34999</v>
      </c>
      <c r="F23" s="50">
        <f>'Pricing Plans'!F5</f>
        <v>34999</v>
      </c>
      <c r="G23" s="50">
        <f>'Pricing Plans'!F5</f>
        <v>34999</v>
      </c>
      <c r="H23" s="50">
        <f>'Pricing Plans'!F5</f>
        <v>34999</v>
      </c>
      <c r="I23" s="50">
        <f>'Pricing Plans'!F5</f>
        <v>34999</v>
      </c>
      <c r="J23" s="50">
        <f>'Pricing Plans'!F5</f>
        <v>34999</v>
      </c>
      <c r="K23" s="50">
        <f>'Pricing Plans'!F5</f>
        <v>34999</v>
      </c>
      <c r="L23" s="27" t="s">
        <v>206</v>
      </c>
    </row>
    <row r="25" spans="2:12" ht="15" customHeight="1" x14ac:dyDescent="0.35">
      <c r="B25" s="6" t="s">
        <v>259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2:12" ht="13.5" customHeight="1" x14ac:dyDescent="0.35">
      <c r="B26" s="23" t="s">
        <v>260</v>
      </c>
      <c r="C26" s="67">
        <f t="shared" ref="C26:K26" si="2">C14*C21</f>
        <v>29997</v>
      </c>
      <c r="D26" s="67">
        <f t="shared" si="2"/>
        <v>129987</v>
      </c>
      <c r="E26" s="67">
        <f t="shared" si="2"/>
        <v>249975</v>
      </c>
      <c r="F26" s="67">
        <f t="shared" si="2"/>
        <v>499950</v>
      </c>
      <c r="G26" s="67">
        <f t="shared" si="2"/>
        <v>1249875</v>
      </c>
      <c r="H26" s="67">
        <f t="shared" si="2"/>
        <v>2499750</v>
      </c>
      <c r="I26" s="67">
        <f t="shared" si="2"/>
        <v>4999500</v>
      </c>
      <c r="J26" s="67">
        <f t="shared" si="2"/>
        <v>12498750</v>
      </c>
      <c r="K26" s="67">
        <f t="shared" si="2"/>
        <v>24997500</v>
      </c>
      <c r="L26" s="27" t="s">
        <v>206</v>
      </c>
    </row>
    <row r="27" spans="2:12" ht="13.5" customHeight="1" x14ac:dyDescent="0.35">
      <c r="B27" s="23" t="s">
        <v>261</v>
      </c>
      <c r="C27" s="67">
        <f t="shared" ref="C27:K27" si="3">C15*C22</f>
        <v>24999</v>
      </c>
      <c r="D27" s="67">
        <f t="shared" si="3"/>
        <v>149994</v>
      </c>
      <c r="E27" s="67">
        <f t="shared" si="3"/>
        <v>299988</v>
      </c>
      <c r="F27" s="67">
        <f t="shared" si="3"/>
        <v>599976</v>
      </c>
      <c r="G27" s="67">
        <f t="shared" si="3"/>
        <v>1499940</v>
      </c>
      <c r="H27" s="67">
        <f t="shared" si="3"/>
        <v>2999880</v>
      </c>
      <c r="I27" s="67">
        <f t="shared" si="3"/>
        <v>5999760</v>
      </c>
      <c r="J27" s="67">
        <f t="shared" si="3"/>
        <v>14999400</v>
      </c>
      <c r="K27" s="67">
        <f t="shared" si="3"/>
        <v>29998800</v>
      </c>
      <c r="L27" s="27" t="s">
        <v>206</v>
      </c>
    </row>
    <row r="28" spans="2:12" ht="13.5" customHeight="1" x14ac:dyDescent="0.35">
      <c r="B28" s="23" t="s">
        <v>262</v>
      </c>
      <c r="C28" s="67">
        <f t="shared" ref="C28:K28" si="4">C16*C23</f>
        <v>0</v>
      </c>
      <c r="D28" s="67">
        <f t="shared" si="4"/>
        <v>69998</v>
      </c>
      <c r="E28" s="67">
        <f t="shared" si="4"/>
        <v>104997</v>
      </c>
      <c r="F28" s="67">
        <f t="shared" si="4"/>
        <v>209994</v>
      </c>
      <c r="G28" s="67">
        <f t="shared" si="4"/>
        <v>524985</v>
      </c>
      <c r="H28" s="67">
        <f t="shared" si="4"/>
        <v>1049970</v>
      </c>
      <c r="I28" s="67">
        <f t="shared" si="4"/>
        <v>2099940</v>
      </c>
      <c r="J28" s="67">
        <f t="shared" si="4"/>
        <v>5249850</v>
      </c>
      <c r="K28" s="67">
        <f t="shared" si="4"/>
        <v>10499700</v>
      </c>
      <c r="L28" s="27" t="s">
        <v>206</v>
      </c>
    </row>
    <row r="29" spans="2:12" ht="13.5" customHeight="1" x14ac:dyDescent="0.35">
      <c r="B29" s="56" t="s">
        <v>263</v>
      </c>
      <c r="C29" s="68">
        <f t="shared" ref="C29:K29" si="5">C26+C27+C28</f>
        <v>54996</v>
      </c>
      <c r="D29" s="68">
        <f t="shared" si="5"/>
        <v>349979</v>
      </c>
      <c r="E29" s="68">
        <f t="shared" si="5"/>
        <v>654960</v>
      </c>
      <c r="F29" s="68">
        <f t="shared" si="5"/>
        <v>1309920</v>
      </c>
      <c r="G29" s="68">
        <f t="shared" si="5"/>
        <v>3274800</v>
      </c>
      <c r="H29" s="68">
        <f t="shared" si="5"/>
        <v>6549600</v>
      </c>
      <c r="I29" s="68">
        <f t="shared" si="5"/>
        <v>13099200</v>
      </c>
      <c r="J29" s="68">
        <f t="shared" si="5"/>
        <v>32748000</v>
      </c>
      <c r="K29" s="68">
        <f t="shared" si="5"/>
        <v>65496000</v>
      </c>
      <c r="L29" s="27" t="s">
        <v>206</v>
      </c>
    </row>
    <row r="30" spans="2:12" ht="13.5" customHeight="1" x14ac:dyDescent="0.35">
      <c r="B30" s="56" t="s">
        <v>264</v>
      </c>
      <c r="C30" s="68">
        <f t="shared" ref="C30:K30" si="6">C29*12</f>
        <v>659952</v>
      </c>
      <c r="D30" s="68">
        <f t="shared" si="6"/>
        <v>4199748</v>
      </c>
      <c r="E30" s="68">
        <f t="shared" si="6"/>
        <v>7859520</v>
      </c>
      <c r="F30" s="68">
        <f t="shared" si="6"/>
        <v>15719040</v>
      </c>
      <c r="G30" s="68">
        <f t="shared" si="6"/>
        <v>39297600</v>
      </c>
      <c r="H30" s="68">
        <f t="shared" si="6"/>
        <v>78595200</v>
      </c>
      <c r="I30" s="68">
        <f t="shared" si="6"/>
        <v>157190400</v>
      </c>
      <c r="J30" s="68">
        <f t="shared" si="6"/>
        <v>392976000</v>
      </c>
      <c r="K30" s="68">
        <f t="shared" si="6"/>
        <v>785952000</v>
      </c>
      <c r="L30" s="27" t="s">
        <v>265</v>
      </c>
    </row>
    <row r="32" spans="2:12" ht="15" customHeight="1" x14ac:dyDescent="0.35">
      <c r="B32" s="6" t="s">
        <v>266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12" ht="13.5" customHeight="1" x14ac:dyDescent="0.35">
      <c r="B33" s="56" t="s">
        <v>267</v>
      </c>
      <c r="C33" s="69">
        <f>C29/Assumptions!C47</f>
        <v>3.1697982708933718</v>
      </c>
      <c r="D33" s="69">
        <f>D29/Assumptions!C47</f>
        <v>20.171700288184439</v>
      </c>
      <c r="E33" s="69">
        <f>E29/Assumptions!C47</f>
        <v>37.749855907780983</v>
      </c>
      <c r="F33" s="69">
        <f>F29/Assumptions!C47</f>
        <v>75.499711815561966</v>
      </c>
      <c r="G33" s="69">
        <f>G29/Assumptions!C47</f>
        <v>188.74927953890489</v>
      </c>
      <c r="H33" s="69">
        <f>H29/Assumptions!C47</f>
        <v>377.49855907780977</v>
      </c>
      <c r="I33" s="69">
        <f>I29/Assumptions!C47</f>
        <v>754.99711815561955</v>
      </c>
      <c r="J33" s="69">
        <f>J29/Assumptions!C47</f>
        <v>1887.492795389049</v>
      </c>
      <c r="K33" s="69">
        <f>K29/Assumptions!C47</f>
        <v>3774.985590778098</v>
      </c>
      <c r="L33" s="27" t="s">
        <v>79</v>
      </c>
    </row>
    <row r="34" spans="2:12" ht="13.5" customHeight="1" x14ac:dyDescent="0.35">
      <c r="B34" s="23" t="s">
        <v>268</v>
      </c>
      <c r="C34" s="70">
        <f>C30/Assumptions!C47</f>
        <v>38.037579250720462</v>
      </c>
      <c r="D34" s="70">
        <f>D30/Assumptions!C47</f>
        <v>242.06040345821324</v>
      </c>
      <c r="E34" s="70">
        <f>E30/Assumptions!C47</f>
        <v>452.99827089337174</v>
      </c>
      <c r="F34" s="70">
        <f>F30/Assumptions!C47</f>
        <v>905.99654178674348</v>
      </c>
      <c r="G34" s="70">
        <f>G30/Assumptions!C47</f>
        <v>2264.9913544668589</v>
      </c>
      <c r="H34" s="70">
        <f>H30/Assumptions!C47</f>
        <v>4529.9827089337177</v>
      </c>
      <c r="I34" s="70">
        <f>I30/Assumptions!C47</f>
        <v>9059.9654178674355</v>
      </c>
      <c r="J34" s="70">
        <f>J30/Assumptions!C47</f>
        <v>22649.913544668587</v>
      </c>
      <c r="K34" s="70">
        <f>K30/Assumptions!C47</f>
        <v>45299.827089337174</v>
      </c>
      <c r="L34" s="27" t="s">
        <v>269</v>
      </c>
    </row>
    <row r="36" spans="2:12" ht="15" customHeight="1" x14ac:dyDescent="0.35">
      <c r="B36" s="8" t="s">
        <v>270</v>
      </c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2:12" ht="13.5" customHeight="1" x14ac:dyDescent="0.35">
      <c r="B37" s="18" t="s">
        <v>271</v>
      </c>
      <c r="C37" s="66">
        <f>IF(10&gt;0,C29/10,0)</f>
        <v>5499.6</v>
      </c>
      <c r="D37" s="66">
        <f>IF(50&gt;0,D29/50,0)</f>
        <v>6999.58</v>
      </c>
      <c r="E37" s="66">
        <f>IF(100&gt;0,E29/100,0)</f>
        <v>6549.6</v>
      </c>
      <c r="F37" s="66">
        <f>IF(200&gt;0,F29/200,0)</f>
        <v>6549.6</v>
      </c>
      <c r="G37" s="66">
        <f>IF(500&gt;0,G29/500,0)</f>
        <v>6549.6</v>
      </c>
      <c r="H37" s="66">
        <f>IF(1000&gt;0,H29/1000,0)</f>
        <v>6549.6</v>
      </c>
      <c r="I37" s="66">
        <f>IF(2000&gt;0,I29/2000,0)</f>
        <v>6549.6</v>
      </c>
      <c r="J37" s="66">
        <f>IF(5000&gt;0,J29/5000,0)</f>
        <v>6549.6</v>
      </c>
      <c r="K37" s="66">
        <f>IF(10000&gt;0,K29/10000,0)</f>
        <v>6549.6</v>
      </c>
      <c r="L37" s="27" t="s">
        <v>208</v>
      </c>
    </row>
    <row r="38" spans="2:12" ht="13.5" customHeight="1" x14ac:dyDescent="0.35">
      <c r="B38" s="18" t="s">
        <v>272</v>
      </c>
      <c r="C38" s="66">
        <f t="shared" ref="C38:K38" si="7">IF(C17&gt;0,C29/C17,0)</f>
        <v>13749</v>
      </c>
      <c r="D38" s="66">
        <f t="shared" si="7"/>
        <v>16665.666666666668</v>
      </c>
      <c r="E38" s="66">
        <f t="shared" si="7"/>
        <v>16374</v>
      </c>
      <c r="F38" s="66">
        <f t="shared" si="7"/>
        <v>16374</v>
      </c>
      <c r="G38" s="66">
        <f t="shared" si="7"/>
        <v>16374</v>
      </c>
      <c r="H38" s="66">
        <f t="shared" si="7"/>
        <v>16374</v>
      </c>
      <c r="I38" s="66">
        <f t="shared" si="7"/>
        <v>16374</v>
      </c>
      <c r="J38" s="66">
        <f t="shared" si="7"/>
        <v>16374</v>
      </c>
      <c r="K38" s="66">
        <f t="shared" si="7"/>
        <v>16374</v>
      </c>
      <c r="L38" s="27" t="s">
        <v>273</v>
      </c>
    </row>
  </sheetData>
  <mergeCells count="8">
    <mergeCell ref="B25:L25"/>
    <mergeCell ref="B32:L32"/>
    <mergeCell ref="B36:L36"/>
    <mergeCell ref="B1:L1"/>
    <mergeCell ref="B2:L2"/>
    <mergeCell ref="B5:L5"/>
    <mergeCell ref="B12:L12"/>
    <mergeCell ref="B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8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5" customWidth="1"/>
    <col min="3" max="11" width="12" customWidth="1"/>
    <col min="12" max="12" width="14" customWidth="1"/>
  </cols>
  <sheetData>
    <row r="1" spans="2:12" ht="16.149999999999999" customHeight="1" x14ac:dyDescent="0.35">
      <c r="B1" s="10" t="s">
        <v>274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5" customHeight="1" x14ac:dyDescent="0.35">
      <c r="B2" s="9" t="s">
        <v>275</v>
      </c>
      <c r="C2" s="9"/>
      <c r="D2" s="9"/>
      <c r="E2" s="9"/>
      <c r="F2" s="9"/>
      <c r="G2" s="9"/>
      <c r="H2" s="9"/>
      <c r="I2" s="9"/>
      <c r="J2" s="9"/>
      <c r="K2" s="9"/>
      <c r="L2" s="9"/>
    </row>
    <row r="4" spans="2:12" ht="21" x14ac:dyDescent="0.35">
      <c r="B4" s="48" t="s">
        <v>276</v>
      </c>
      <c r="C4" s="49" t="s">
        <v>168</v>
      </c>
      <c r="D4" s="49" t="s">
        <v>169</v>
      </c>
      <c r="E4" s="49" t="s">
        <v>170</v>
      </c>
      <c r="F4" s="49" t="s">
        <v>171</v>
      </c>
      <c r="G4" s="49" t="s">
        <v>172</v>
      </c>
      <c r="H4" s="49" t="s">
        <v>173</v>
      </c>
      <c r="I4" s="49" t="s">
        <v>174</v>
      </c>
      <c r="J4" s="49" t="s">
        <v>175</v>
      </c>
      <c r="K4" s="49" t="s">
        <v>176</v>
      </c>
      <c r="L4" s="49" t="s">
        <v>177</v>
      </c>
    </row>
    <row r="5" spans="2:12" ht="15" customHeight="1" x14ac:dyDescent="0.35">
      <c r="B5" s="6" t="s">
        <v>277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ht="13.5" customHeight="1" x14ac:dyDescent="0.35">
      <c r="B6" s="56" t="s">
        <v>278</v>
      </c>
      <c r="C6" s="57">
        <f>'Revenue Model'!C29</f>
        <v>54996</v>
      </c>
      <c r="D6" s="57">
        <f>'Revenue Model'!D29</f>
        <v>349979</v>
      </c>
      <c r="E6" s="57">
        <f>'Revenue Model'!E29</f>
        <v>654960</v>
      </c>
      <c r="F6" s="57">
        <f>'Revenue Model'!F29</f>
        <v>1309920</v>
      </c>
      <c r="G6" s="57">
        <f>'Revenue Model'!G29</f>
        <v>3274800</v>
      </c>
      <c r="H6" s="57">
        <f>'Revenue Model'!H29</f>
        <v>6549600</v>
      </c>
      <c r="I6" s="57">
        <f>'Revenue Model'!I29</f>
        <v>13099200</v>
      </c>
      <c r="J6" s="57">
        <f>'Revenue Model'!J29</f>
        <v>32748000</v>
      </c>
      <c r="K6" s="57">
        <f>'Revenue Model'!K29</f>
        <v>65496000</v>
      </c>
      <c r="L6" s="27" t="s">
        <v>206</v>
      </c>
    </row>
    <row r="8" spans="2:12" ht="15" customHeight="1" x14ac:dyDescent="0.35">
      <c r="B8" s="8" t="s">
        <v>279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2:12" ht="13.5" customHeight="1" x14ac:dyDescent="0.35">
      <c r="B9" s="18" t="s">
        <v>280</v>
      </c>
      <c r="C9" s="50">
        <f>'AI Cost'!C29</f>
        <v>737527.68</v>
      </c>
      <c r="D9" s="50">
        <f>'AI Cost'!D29</f>
        <v>3687638.4000000008</v>
      </c>
      <c r="E9" s="50">
        <f>'AI Cost'!E29</f>
        <v>7375276.8000000017</v>
      </c>
      <c r="F9" s="50">
        <f>'AI Cost'!F29</f>
        <v>14750553.600000003</v>
      </c>
      <c r="G9" s="50">
        <f>'AI Cost'!G29</f>
        <v>36876384</v>
      </c>
      <c r="H9" s="50">
        <f>'AI Cost'!H29</f>
        <v>73752768</v>
      </c>
      <c r="I9" s="50">
        <f>'AI Cost'!I29</f>
        <v>147505536</v>
      </c>
      <c r="J9" s="50">
        <f>'AI Cost'!J29</f>
        <v>368763840</v>
      </c>
      <c r="K9" s="50">
        <f>'AI Cost'!K29</f>
        <v>737527680</v>
      </c>
      <c r="L9" s="27" t="s">
        <v>206</v>
      </c>
    </row>
    <row r="10" spans="2:12" ht="13.5" customHeight="1" x14ac:dyDescent="0.35">
      <c r="B10" s="18" t="s">
        <v>281</v>
      </c>
      <c r="C10" s="50">
        <f>'Infra Cost'!C17</f>
        <v>433750</v>
      </c>
      <c r="D10" s="50">
        <f>'Infra Cost'!D17</f>
        <v>433750</v>
      </c>
      <c r="E10" s="50">
        <f>'Infra Cost'!E17</f>
        <v>867500</v>
      </c>
      <c r="F10" s="50">
        <f>'Infra Cost'!F17</f>
        <v>954250</v>
      </c>
      <c r="G10" s="50">
        <f>'Infra Cost'!G17</f>
        <v>1301250</v>
      </c>
      <c r="H10" s="50">
        <f>'Infra Cost'!H17</f>
        <v>11260150</v>
      </c>
      <c r="I10" s="50">
        <f>'Infra Cost'!I17</f>
        <v>11260150</v>
      </c>
      <c r="J10" s="50">
        <f>'Infra Cost'!J17</f>
        <v>11260150</v>
      </c>
      <c r="K10" s="50">
        <f>'Infra Cost'!K17</f>
        <v>11260150</v>
      </c>
      <c r="L10" s="27" t="s">
        <v>206</v>
      </c>
    </row>
    <row r="11" spans="2:12" ht="13.5" customHeight="1" x14ac:dyDescent="0.35">
      <c r="B11" s="51" t="s">
        <v>282</v>
      </c>
      <c r="C11" s="52">
        <f t="shared" ref="C11:K11" si="0">C9+C10</f>
        <v>1171277.6800000002</v>
      </c>
      <c r="D11" s="52">
        <f t="shared" si="0"/>
        <v>4121388.4000000008</v>
      </c>
      <c r="E11" s="52">
        <f t="shared" si="0"/>
        <v>8242776.8000000017</v>
      </c>
      <c r="F11" s="52">
        <f t="shared" si="0"/>
        <v>15704803.600000003</v>
      </c>
      <c r="G11" s="52">
        <f t="shared" si="0"/>
        <v>38177634</v>
      </c>
      <c r="H11" s="52">
        <f t="shared" si="0"/>
        <v>85012918</v>
      </c>
      <c r="I11" s="52">
        <f t="shared" si="0"/>
        <v>158765686</v>
      </c>
      <c r="J11" s="52">
        <f t="shared" si="0"/>
        <v>380023990</v>
      </c>
      <c r="K11" s="52">
        <f t="shared" si="0"/>
        <v>748787830</v>
      </c>
      <c r="L11" s="27" t="s">
        <v>206</v>
      </c>
    </row>
    <row r="13" spans="2:12" ht="15" customHeight="1" x14ac:dyDescent="0.35">
      <c r="B13" s="4" t="s">
        <v>283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2" ht="13.5" customHeight="1" x14ac:dyDescent="0.35">
      <c r="B14" s="71" t="s">
        <v>284</v>
      </c>
      <c r="C14" s="72">
        <f t="shared" ref="C14:K14" si="1">C6-C11</f>
        <v>-1116281.6800000002</v>
      </c>
      <c r="D14" s="72">
        <f t="shared" si="1"/>
        <v>-3771409.4000000008</v>
      </c>
      <c r="E14" s="72">
        <f t="shared" si="1"/>
        <v>-7587816.8000000017</v>
      </c>
      <c r="F14" s="72">
        <f t="shared" si="1"/>
        <v>-14394883.600000003</v>
      </c>
      <c r="G14" s="72">
        <f t="shared" si="1"/>
        <v>-34902834</v>
      </c>
      <c r="H14" s="72">
        <f t="shared" si="1"/>
        <v>-78463318</v>
      </c>
      <c r="I14" s="72">
        <f t="shared" si="1"/>
        <v>-145666486</v>
      </c>
      <c r="J14" s="72">
        <f t="shared" si="1"/>
        <v>-347275990</v>
      </c>
      <c r="K14" s="72">
        <f t="shared" si="1"/>
        <v>-683291830</v>
      </c>
      <c r="L14" s="27" t="s">
        <v>206</v>
      </c>
    </row>
    <row r="15" spans="2:12" ht="13.5" customHeight="1" x14ac:dyDescent="0.35">
      <c r="B15" s="60" t="s">
        <v>285</v>
      </c>
      <c r="C15" s="73">
        <f t="shared" ref="C15:K15" si="2">IF(C6&lt;&gt;0,(C6-C11)/C6,0)</f>
        <v>-20.297506727762023</v>
      </c>
      <c r="D15" s="73">
        <f t="shared" si="2"/>
        <v>-10.776101994691112</v>
      </c>
      <c r="E15" s="73">
        <f t="shared" si="2"/>
        <v>-11.585160620495911</v>
      </c>
      <c r="F15" s="73">
        <f t="shared" si="2"/>
        <v>-10.989131855380483</v>
      </c>
      <c r="G15" s="73">
        <f t="shared" si="2"/>
        <v>-10.658004763649689</v>
      </c>
      <c r="H15" s="73">
        <f t="shared" si="2"/>
        <v>-11.979864113839014</v>
      </c>
      <c r="I15" s="73">
        <f t="shared" si="2"/>
        <v>-11.120258183705875</v>
      </c>
      <c r="J15" s="73">
        <f t="shared" si="2"/>
        <v>-10.604494625625993</v>
      </c>
      <c r="K15" s="73">
        <f t="shared" si="2"/>
        <v>-10.432573439599365</v>
      </c>
      <c r="L15" s="27" t="s">
        <v>36</v>
      </c>
    </row>
    <row r="16" spans="2:12" ht="13.5" customHeight="1" x14ac:dyDescent="0.35">
      <c r="B16" s="18" t="s">
        <v>286</v>
      </c>
      <c r="C16" s="66">
        <f>C11/10</f>
        <v>117127.76800000001</v>
      </c>
      <c r="D16" s="66">
        <f>D11/50</f>
        <v>82427.768000000011</v>
      </c>
      <c r="E16" s="66">
        <f>E11/100</f>
        <v>82427.768000000011</v>
      </c>
      <c r="F16" s="66">
        <f>F11/200</f>
        <v>78524.018000000011</v>
      </c>
      <c r="G16" s="66">
        <f>G11/500</f>
        <v>76355.267999999996</v>
      </c>
      <c r="H16" s="66">
        <f>H11/1000</f>
        <v>85012.918000000005</v>
      </c>
      <c r="I16" s="66">
        <f>I11/2000</f>
        <v>79382.842999999993</v>
      </c>
      <c r="J16" s="66">
        <f>J11/5000</f>
        <v>76004.797999999995</v>
      </c>
      <c r="K16" s="66">
        <f>K11/10000</f>
        <v>74878.782999999996</v>
      </c>
      <c r="L16" s="27" t="s">
        <v>208</v>
      </c>
    </row>
    <row r="17" spans="2:12" ht="13.5" customHeight="1" x14ac:dyDescent="0.35">
      <c r="B17" s="18" t="s">
        <v>287</v>
      </c>
      <c r="C17" s="66">
        <f>C6/10</f>
        <v>5499.6</v>
      </c>
      <c r="D17" s="66">
        <f>D6/50</f>
        <v>6999.58</v>
      </c>
      <c r="E17" s="66">
        <f>E6/100</f>
        <v>6549.6</v>
      </c>
      <c r="F17" s="66">
        <f>F6/200</f>
        <v>6549.6</v>
      </c>
      <c r="G17" s="66">
        <f>G6/500</f>
        <v>6549.6</v>
      </c>
      <c r="H17" s="66">
        <f>H6/1000</f>
        <v>6549.6</v>
      </c>
      <c r="I17" s="66">
        <f>I6/2000</f>
        <v>6549.6</v>
      </c>
      <c r="J17" s="66">
        <f>J6/5000</f>
        <v>6549.6</v>
      </c>
      <c r="K17" s="66">
        <f>K6/10000</f>
        <v>6549.6</v>
      </c>
      <c r="L17" s="27" t="s">
        <v>208</v>
      </c>
    </row>
    <row r="18" spans="2:12" ht="13.5" customHeight="1" x14ac:dyDescent="0.35">
      <c r="B18" s="71" t="s">
        <v>288</v>
      </c>
      <c r="C18" s="72">
        <f t="shared" ref="C18:K18" si="3">C17-C16</f>
        <v>-111628.16800000001</v>
      </c>
      <c r="D18" s="72">
        <f t="shared" si="3"/>
        <v>-75428.188000000009</v>
      </c>
      <c r="E18" s="72">
        <f t="shared" si="3"/>
        <v>-75878.168000000005</v>
      </c>
      <c r="F18" s="72">
        <f t="shared" si="3"/>
        <v>-71974.418000000005</v>
      </c>
      <c r="G18" s="72">
        <f t="shared" si="3"/>
        <v>-69805.667999999991</v>
      </c>
      <c r="H18" s="72">
        <f t="shared" si="3"/>
        <v>-78463.317999999999</v>
      </c>
      <c r="I18" s="72">
        <f t="shared" si="3"/>
        <v>-72833.242999999988</v>
      </c>
      <c r="J18" s="72">
        <f t="shared" si="3"/>
        <v>-69455.197999999989</v>
      </c>
      <c r="K18" s="72">
        <f t="shared" si="3"/>
        <v>-68329.18299999999</v>
      </c>
      <c r="L18" s="27" t="s">
        <v>208</v>
      </c>
    </row>
    <row r="20" spans="2:12" ht="15" customHeight="1" x14ac:dyDescent="0.35">
      <c r="B20" s="8" t="s">
        <v>289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2:12" ht="13.5" customHeight="1" x14ac:dyDescent="0.35">
      <c r="B21" s="18" t="s">
        <v>290</v>
      </c>
      <c r="C21" s="53">
        <f>'Revenue Model'!C33</f>
        <v>3.1697982708933718</v>
      </c>
      <c r="D21" s="53">
        <f>'Revenue Model'!D33</f>
        <v>20.171700288184439</v>
      </c>
      <c r="E21" s="53">
        <f>'Revenue Model'!E33</f>
        <v>37.749855907780983</v>
      </c>
      <c r="F21" s="53">
        <f>'Revenue Model'!F33</f>
        <v>75.499711815561966</v>
      </c>
      <c r="G21" s="53">
        <f>'Revenue Model'!G33</f>
        <v>188.74927953890489</v>
      </c>
      <c r="H21" s="53">
        <f>'Revenue Model'!H33</f>
        <v>377.49855907780977</v>
      </c>
      <c r="I21" s="53">
        <f>'Revenue Model'!I33</f>
        <v>754.99711815561955</v>
      </c>
      <c r="J21" s="53">
        <f>'Revenue Model'!J33</f>
        <v>1887.492795389049</v>
      </c>
      <c r="K21" s="53">
        <f>'Revenue Model'!K33</f>
        <v>3774.985590778098</v>
      </c>
      <c r="L21" s="27" t="s">
        <v>79</v>
      </c>
    </row>
    <row r="22" spans="2:12" ht="13.5" customHeight="1" x14ac:dyDescent="0.35">
      <c r="B22" s="18" t="s">
        <v>291</v>
      </c>
      <c r="C22" s="53">
        <f>(C9+C10)/Assumptions!C47</f>
        <v>67.508800000000008</v>
      </c>
      <c r="D22" s="53">
        <f>(D9+D10)/Assumptions!C47</f>
        <v>237.54400000000004</v>
      </c>
      <c r="E22" s="53">
        <f>(E9+E10)/Assumptions!C47</f>
        <v>475.08800000000008</v>
      </c>
      <c r="F22" s="53">
        <f>(F9+F10)/Assumptions!C47</f>
        <v>905.17600000000016</v>
      </c>
      <c r="G22" s="53">
        <f>(G9+G10)/Assumptions!C47</f>
        <v>2200.44</v>
      </c>
      <c r="H22" s="53">
        <f>(H9+H10)/Assumptions!C47</f>
        <v>4899.88</v>
      </c>
      <c r="I22" s="53">
        <f>(I9+I10)/Assumptions!C47</f>
        <v>9150.76</v>
      </c>
      <c r="J22" s="53">
        <f>(J9+J10)/Assumptions!C47</f>
        <v>21903.4</v>
      </c>
      <c r="K22" s="53">
        <f>(K9+K10)/Assumptions!C47</f>
        <v>43157.8</v>
      </c>
      <c r="L22" s="27" t="s">
        <v>79</v>
      </c>
    </row>
    <row r="23" spans="2:12" ht="13.5" customHeight="1" x14ac:dyDescent="0.35">
      <c r="B23" s="56" t="s">
        <v>292</v>
      </c>
      <c r="C23" s="69">
        <f>C14/Assumptions!C47</f>
        <v>-64.339001729106641</v>
      </c>
      <c r="D23" s="69">
        <f>D14/Assumptions!C47</f>
        <v>-217.3722997118156</v>
      </c>
      <c r="E23" s="69">
        <f>E14/Assumptions!C47</f>
        <v>-437.33814409221912</v>
      </c>
      <c r="F23" s="69">
        <f>F14/Assumptions!C47</f>
        <v>-829.67628818443825</v>
      </c>
      <c r="G23" s="69">
        <f>G14/Assumptions!C47</f>
        <v>-2011.690720461095</v>
      </c>
      <c r="H23" s="69">
        <f>H14/Assumptions!C47</f>
        <v>-4522.3814409221904</v>
      </c>
      <c r="I23" s="69">
        <f>I14/Assumptions!C47</f>
        <v>-8395.7628818443809</v>
      </c>
      <c r="J23" s="69">
        <f>J14/Assumptions!C47</f>
        <v>-20015.90720461095</v>
      </c>
      <c r="K23" s="69">
        <f>K14/Assumptions!C47</f>
        <v>-39382.814409221901</v>
      </c>
      <c r="L23" s="27" t="s">
        <v>79</v>
      </c>
    </row>
    <row r="26" spans="2:12" ht="15" customHeight="1" x14ac:dyDescent="0.35">
      <c r="B26" s="3" t="s">
        <v>293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3.5" customHeight="1" x14ac:dyDescent="0.35">
      <c r="B27" s="18" t="s">
        <v>294</v>
      </c>
      <c r="C27" s="74" t="str">
        <f t="shared" ref="C27:K27" si="4">IF(C14&gt;=0,"✓ Profitable","✗ Loss")</f>
        <v>✗ Loss</v>
      </c>
      <c r="D27" s="74" t="str">
        <f t="shared" si="4"/>
        <v>✗ Loss</v>
      </c>
      <c r="E27" s="74" t="str">
        <f t="shared" si="4"/>
        <v>✗ Loss</v>
      </c>
      <c r="F27" s="74" t="str">
        <f t="shared" si="4"/>
        <v>✗ Loss</v>
      </c>
      <c r="G27" s="74" t="str">
        <f t="shared" si="4"/>
        <v>✗ Loss</v>
      </c>
      <c r="H27" s="74" t="str">
        <f t="shared" si="4"/>
        <v>✗ Loss</v>
      </c>
      <c r="I27" s="74" t="str">
        <f t="shared" si="4"/>
        <v>✗ Loss</v>
      </c>
      <c r="J27" s="74" t="str">
        <f t="shared" si="4"/>
        <v>✗ Loss</v>
      </c>
      <c r="K27" s="74" t="str">
        <f t="shared" si="4"/>
        <v>✗ Loss</v>
      </c>
    </row>
    <row r="28" spans="2:12" ht="13.5" customHeight="1" x14ac:dyDescent="0.35">
      <c r="B28" s="18" t="s">
        <v>295</v>
      </c>
      <c r="C28" s="66">
        <f>IFERROR(ROUNDUP(C11/'Pricing Plans'!D5,0),"-")</f>
        <v>118</v>
      </c>
      <c r="D28" s="66">
        <f>IFERROR(ROUNDUP(D11/'Pricing Plans'!D5,0),"-")</f>
        <v>413</v>
      </c>
      <c r="E28" s="66">
        <f>IFERROR(ROUNDUP(E11/'Pricing Plans'!D5,0),"-")</f>
        <v>825</v>
      </c>
      <c r="F28" s="66">
        <f>IFERROR(ROUNDUP(F11/'Pricing Plans'!D5,0),"-")</f>
        <v>1571</v>
      </c>
      <c r="G28" s="66">
        <f>IFERROR(ROUNDUP(G11/'Pricing Plans'!D5,0),"-")</f>
        <v>3819</v>
      </c>
      <c r="H28" s="66">
        <f>IFERROR(ROUNDUP(H11/'Pricing Plans'!D5,0),"-")</f>
        <v>8503</v>
      </c>
      <c r="I28" s="66">
        <f>IFERROR(ROUNDUP(I11/'Pricing Plans'!D5,0),"-")</f>
        <v>15879</v>
      </c>
      <c r="J28" s="66">
        <f>IFERROR(ROUNDUP(J11/'Pricing Plans'!D5,0),"-")</f>
        <v>38007</v>
      </c>
      <c r="K28" s="66">
        <f>IFERROR(ROUNDUP(K11/'Pricing Plans'!D5,0),"-")</f>
        <v>74887</v>
      </c>
      <c r="L28" s="27" t="s">
        <v>296</v>
      </c>
    </row>
    <row r="31" spans="2:12" ht="15" customHeight="1" x14ac:dyDescent="0.35">
      <c r="B31" s="5" t="s">
        <v>297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ht="27.75" customHeight="1" x14ac:dyDescent="0.35">
      <c r="B32" s="2" t="s">
        <v>298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ht="27.75" customHeight="1" x14ac:dyDescent="0.35">
      <c r="B33" s="2" t="s">
        <v>299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ht="27.75" customHeight="1" x14ac:dyDescent="0.35">
      <c r="B34" s="2" t="s">
        <v>300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ht="27.75" customHeight="1" x14ac:dyDescent="0.35">
      <c r="B35" s="2" t="s">
        <v>301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ht="27.75" customHeight="1" x14ac:dyDescent="0.35">
      <c r="B36" s="2" t="s">
        <v>302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ht="27.75" customHeight="1" x14ac:dyDescent="0.35">
      <c r="B37" s="2" t="s">
        <v>303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ht="27.75" customHeight="1" x14ac:dyDescent="0.35">
      <c r="B38" s="2" t="s">
        <v>304</v>
      </c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15">
    <mergeCell ref="B34:L34"/>
    <mergeCell ref="B35:L35"/>
    <mergeCell ref="B36:L36"/>
    <mergeCell ref="B37:L37"/>
    <mergeCell ref="B38:L38"/>
    <mergeCell ref="B20:L20"/>
    <mergeCell ref="B26:L26"/>
    <mergeCell ref="B31:L31"/>
    <mergeCell ref="B32:L32"/>
    <mergeCell ref="B33:L33"/>
    <mergeCell ref="B1:L1"/>
    <mergeCell ref="B2:L2"/>
    <mergeCell ref="B5:L5"/>
    <mergeCell ref="B8:L8"/>
    <mergeCell ref="B13:L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9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2" customWidth="1"/>
    <col min="3" max="5" width="14" customWidth="1"/>
    <col min="6" max="6" width="2" customWidth="1"/>
    <col min="7" max="9" width="14" customWidth="1"/>
    <col min="10" max="10" width="2" customWidth="1"/>
    <col min="11" max="13" width="14" customWidth="1"/>
  </cols>
  <sheetData>
    <row r="1" spans="2:13" ht="16.149999999999999" customHeight="1" x14ac:dyDescent="0.35">
      <c r="B1" s="10" t="s">
        <v>305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2:13" ht="15" customHeight="1" x14ac:dyDescent="0.35">
      <c r="B2" s="9" t="s">
        <v>306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2:13" ht="15" customHeight="1" x14ac:dyDescent="0.35">
      <c r="B4" s="75"/>
      <c r="C4" s="1" t="s">
        <v>307</v>
      </c>
      <c r="D4" s="1"/>
      <c r="E4" s="1"/>
      <c r="F4" s="76"/>
      <c r="G4" s="13" t="s">
        <v>308</v>
      </c>
      <c r="H4" s="13"/>
      <c r="I4" s="13"/>
      <c r="J4" s="76"/>
      <c r="K4" s="80" t="s">
        <v>309</v>
      </c>
      <c r="L4" s="80"/>
      <c r="M4" s="80"/>
    </row>
    <row r="5" spans="2:13" x14ac:dyDescent="0.35">
      <c r="B5" s="75"/>
      <c r="C5" s="48" t="s">
        <v>310</v>
      </c>
      <c r="D5" s="48" t="s">
        <v>311</v>
      </c>
      <c r="E5" s="48" t="s">
        <v>312</v>
      </c>
      <c r="F5" s="76"/>
      <c r="G5" s="48" t="s">
        <v>310</v>
      </c>
      <c r="H5" s="48" t="s">
        <v>311</v>
      </c>
      <c r="I5" s="48" t="s">
        <v>312</v>
      </c>
      <c r="J5" s="76"/>
      <c r="K5" s="48" t="s">
        <v>310</v>
      </c>
      <c r="L5" s="48" t="s">
        <v>311</v>
      </c>
      <c r="M5" s="48" t="s">
        <v>312</v>
      </c>
    </row>
    <row r="6" spans="2:13" ht="15.75" customHeight="1" x14ac:dyDescent="0.35">
      <c r="B6" s="77" t="s">
        <v>313</v>
      </c>
      <c r="C6" s="78">
        <v>0.6</v>
      </c>
      <c r="D6" s="78">
        <v>0.6</v>
      </c>
      <c r="E6" s="78">
        <v>0.6</v>
      </c>
      <c r="F6" s="76"/>
      <c r="G6" s="78">
        <v>1</v>
      </c>
      <c r="H6" s="78">
        <v>1</v>
      </c>
      <c r="I6" s="78">
        <v>1</v>
      </c>
      <c r="J6" s="76"/>
      <c r="K6" s="78">
        <v>1.5</v>
      </c>
      <c r="L6" s="78">
        <v>1.5</v>
      </c>
      <c r="M6" s="78">
        <v>1.5</v>
      </c>
    </row>
    <row r="7" spans="2:13" ht="15" customHeight="1" x14ac:dyDescent="0.35">
      <c r="B7" s="18" t="s">
        <v>314</v>
      </c>
      <c r="C7" s="66">
        <f>((ROUND(100*C6*Assumptions!C5*Assumptions!C6*Assumptions!C8*Assumptions!C21,0)+ROUND(100*C6*Assumptions!C5*Assumptions!C7*Assumptions!C8*Assumptions!C23,0)+ROUND(100*C6*Assumptions!C11*Assumptions!C12*Assumptions!C13*Assumptions!C25,0))/1000000*Assumptions!C17+(ROUND(100*C6*Assumptions!C5*Assumptions!C6*Assumptions!C8*Assumptions!C22,0)+ROUND(100*C6*Assumptions!C5*Assumptions!C7*Assumptions!C8*Assumptions!C24,0)+ROUND(100*C6*Assumptions!C11*Assumptions!C12*Assumptions!C13*Assumptions!C26,0))/1000000*Assumptions!C18)*Assumptions!C47</f>
        <v>4425166.08</v>
      </c>
      <c r="D7" s="66">
        <f>((ROUND(500*D6*Assumptions!C5*Assumptions!C6*Assumptions!C8*Assumptions!C21,0)+ROUND(500*D6*Assumptions!C5*Assumptions!C7*Assumptions!C8*Assumptions!C23,0)+ROUND(500*D6*Assumptions!C11*Assumptions!C12*Assumptions!C13*Assumptions!C25,0))/1000000*Assumptions!C17+(ROUND(500*D6*Assumptions!C5*Assumptions!C6*Assumptions!C8*Assumptions!C22,0)+ROUND(500*D6*Assumptions!C5*Assumptions!C7*Assumptions!C8*Assumptions!C24,0)+ROUND(500*D6*Assumptions!C11*Assumptions!C12*Assumptions!C13*Assumptions!C26,0))/1000000*Assumptions!C18)*Assumptions!C47</f>
        <v>22125830.400000002</v>
      </c>
      <c r="E7" s="66">
        <f>((ROUND(1000*E6*Assumptions!C5*Assumptions!C6*Assumptions!C8*Assumptions!C21,0)+ROUND(1000*E6*Assumptions!C5*Assumptions!C7*Assumptions!C8*Assumptions!C23,0)+ROUND(1000*E6*Assumptions!C11*Assumptions!C12*Assumptions!C13*Assumptions!C25,0))/1000000*Assumptions!C17+(ROUND(1000*E6*Assumptions!C5*Assumptions!C6*Assumptions!C8*Assumptions!C22,0)+ROUND(1000*E6*Assumptions!C5*Assumptions!C7*Assumptions!C8*Assumptions!C24,0)+ROUND(1000*E6*Assumptions!C11*Assumptions!C12*Assumptions!C13*Assumptions!C26,0))/1000000*Assumptions!C18)*Assumptions!C47</f>
        <v>44251660.800000004</v>
      </c>
      <c r="F7" s="76"/>
      <c r="G7" s="66">
        <f>((ROUND(100*G6*Assumptions!C5*Assumptions!C6*Assumptions!C8*Assumptions!C21,0)+ROUND(100*G6*Assumptions!C5*Assumptions!C7*Assumptions!C8*Assumptions!C23,0)+ROUND(100*G6*Assumptions!C11*Assumptions!C12*Assumptions!C13*Assumptions!C25,0))/1000000*Assumptions!C17+(ROUND(100*G6*Assumptions!C5*Assumptions!C6*Assumptions!C8*Assumptions!C22,0)+ROUND(100*G6*Assumptions!C5*Assumptions!C7*Assumptions!C8*Assumptions!C24,0)+ROUND(100*G6*Assumptions!C11*Assumptions!C12*Assumptions!C13*Assumptions!C26,0))/1000000*Assumptions!C18)*Assumptions!C47</f>
        <v>7375276.8000000017</v>
      </c>
      <c r="H7" s="66">
        <f>((ROUND(500*H6*Assumptions!C5*Assumptions!C6*Assumptions!C8*Assumptions!C21,0)+ROUND(500*H6*Assumptions!C5*Assumptions!C7*Assumptions!C8*Assumptions!C23,0)+ROUND(500*H6*Assumptions!C11*Assumptions!C12*Assumptions!C13*Assumptions!C25,0))/1000000*Assumptions!C17+(ROUND(500*H6*Assumptions!C5*Assumptions!C6*Assumptions!C8*Assumptions!C22,0)+ROUND(500*H6*Assumptions!C5*Assumptions!C7*Assumptions!C8*Assumptions!C24,0)+ROUND(500*H6*Assumptions!C11*Assumptions!C12*Assumptions!C13*Assumptions!C26,0))/1000000*Assumptions!C18)*Assumptions!C47</f>
        <v>36876384</v>
      </c>
      <c r="I7" s="66">
        <f>((ROUND(1000*I6*Assumptions!C5*Assumptions!C6*Assumptions!C8*Assumptions!C21,0)+ROUND(1000*I6*Assumptions!C5*Assumptions!C7*Assumptions!C8*Assumptions!C23,0)+ROUND(1000*I6*Assumptions!C11*Assumptions!C12*Assumptions!C13*Assumptions!C25,0))/1000000*Assumptions!C17+(ROUND(1000*I6*Assumptions!C5*Assumptions!C6*Assumptions!C8*Assumptions!C22,0)+ROUND(1000*I6*Assumptions!C5*Assumptions!C7*Assumptions!C8*Assumptions!C24,0)+ROUND(1000*I6*Assumptions!C11*Assumptions!C12*Assumptions!C13*Assumptions!C26,0))/1000000*Assumptions!C18)*Assumptions!C47</f>
        <v>73752768</v>
      </c>
      <c r="J7" s="76"/>
      <c r="K7" s="66">
        <f>((ROUND(100*K6*Assumptions!C5*Assumptions!C6*Assumptions!C8*Assumptions!C21,0)+ROUND(100*K6*Assumptions!C5*Assumptions!C7*Assumptions!C8*Assumptions!C23,0)+ROUND(100*K6*Assumptions!C11*Assumptions!C12*Assumptions!C13*Assumptions!C25,0))/1000000*Assumptions!C17+(ROUND(100*K6*Assumptions!C5*Assumptions!C6*Assumptions!C8*Assumptions!C22,0)+ROUND(100*K6*Assumptions!C5*Assumptions!C7*Assumptions!C8*Assumptions!C24,0)+ROUND(100*K6*Assumptions!C11*Assumptions!C12*Assumptions!C13*Assumptions!C26,0))/1000000*Assumptions!C18)*Assumptions!C47</f>
        <v>11062915.200000001</v>
      </c>
      <c r="L7" s="66">
        <f>((ROUND(500*L6*Assumptions!C5*Assumptions!C6*Assumptions!C8*Assumptions!C21,0)+ROUND(500*L6*Assumptions!C5*Assumptions!C7*Assumptions!C8*Assumptions!C23,0)+ROUND(500*L6*Assumptions!C11*Assumptions!C12*Assumptions!C13*Assumptions!C25,0))/1000000*Assumptions!C17+(ROUND(500*L6*Assumptions!C5*Assumptions!C6*Assumptions!C8*Assumptions!C22,0)+ROUND(500*L6*Assumptions!C5*Assumptions!C7*Assumptions!C8*Assumptions!C24,0)+ROUND(500*L6*Assumptions!C11*Assumptions!C12*Assumptions!C13*Assumptions!C26,0))/1000000*Assumptions!C18)*Assumptions!C47</f>
        <v>55314576</v>
      </c>
      <c r="M7" s="66">
        <f>((ROUND(1000*M6*Assumptions!C5*Assumptions!C6*Assumptions!C8*Assumptions!C21,0)+ROUND(1000*M6*Assumptions!C5*Assumptions!C7*Assumptions!C8*Assumptions!C23,0)+ROUND(1000*M6*Assumptions!C11*Assumptions!C12*Assumptions!C13*Assumptions!C25,0))/1000000*Assumptions!C17+(ROUND(1000*M6*Assumptions!C5*Assumptions!C6*Assumptions!C8*Assumptions!C22,0)+ROUND(1000*M6*Assumptions!C5*Assumptions!C7*Assumptions!C8*Assumptions!C24,0)+ROUND(1000*M6*Assumptions!C11*Assumptions!C12*Assumptions!C13*Assumptions!C26,0))/1000000*Assumptions!C18)*Assumptions!C47</f>
        <v>110629152</v>
      </c>
    </row>
    <row r="8" spans="2:13" ht="15" customHeight="1" x14ac:dyDescent="0.35">
      <c r="B8" s="18" t="s">
        <v>281</v>
      </c>
      <c r="C8" s="66">
        <f>((IF(100&gt;=Assumptions!C41,Assumptions!C42,Assumptions!C31))+(IF(100&gt;=Assumptions!C43,Assumptions!C44,IF(100&gt;=Assumptions!C37,Assumptions!C38,Assumptions!C32)))+(IF(100&gt;=Assumptions!C39,Assumptions!C40,Assumptions!C33))+Assumptions!C34)*Assumptions!C47</f>
        <v>867500</v>
      </c>
      <c r="D8" s="66">
        <f>((IF(500&gt;=Assumptions!C41,Assumptions!C42,Assumptions!C31))+(IF(500&gt;=Assumptions!C43,Assumptions!C44,IF(500&gt;=Assumptions!C37,Assumptions!C38,Assumptions!C32)))+(IF(500&gt;=Assumptions!C39,Assumptions!C40,Assumptions!C33))+Assumptions!C34)*Assumptions!C47</f>
        <v>1301250</v>
      </c>
      <c r="E8" s="66">
        <f>((IF(1000&gt;=Assumptions!C41,Assumptions!C42,Assumptions!C31))+(IF(1000&gt;=Assumptions!C43,Assumptions!C44,IF(1000&gt;=Assumptions!C37,Assumptions!C38,Assumptions!C32)))+(IF(1000&gt;=Assumptions!C39,Assumptions!C40,Assumptions!C33))+Assumptions!C34)*Assumptions!C47</f>
        <v>11260150</v>
      </c>
      <c r="F8" s="76"/>
      <c r="G8" s="66">
        <f>((IF(100&gt;=Assumptions!C41,Assumptions!C42,Assumptions!C31))+(IF(100&gt;=Assumptions!C43,Assumptions!C44,IF(100&gt;=Assumptions!C37,Assumptions!C38,Assumptions!C32)))+(IF(100&gt;=Assumptions!C39,Assumptions!C40,Assumptions!C33))+Assumptions!C34)*Assumptions!C47</f>
        <v>867500</v>
      </c>
      <c r="H8" s="66">
        <f>((IF(500&gt;=Assumptions!C41,Assumptions!C42,Assumptions!C31))+(IF(500&gt;=Assumptions!C43,Assumptions!C44,IF(500&gt;=Assumptions!C37,Assumptions!C38,Assumptions!C32)))+(IF(500&gt;=Assumptions!C39,Assumptions!C40,Assumptions!C33))+Assumptions!C34)*Assumptions!C47</f>
        <v>1301250</v>
      </c>
      <c r="I8" s="66">
        <f>((IF(1000&gt;=Assumptions!C41,Assumptions!C42,Assumptions!C31))+(IF(1000&gt;=Assumptions!C43,Assumptions!C44,IF(1000&gt;=Assumptions!C37,Assumptions!C38,Assumptions!C32)))+(IF(1000&gt;=Assumptions!C39,Assumptions!C40,Assumptions!C33))+Assumptions!C34)*Assumptions!C47</f>
        <v>11260150</v>
      </c>
      <c r="J8" s="76"/>
      <c r="K8" s="66">
        <f>((IF(100&gt;=Assumptions!C41,Assumptions!C42,Assumptions!C31))+(IF(100&gt;=Assumptions!C43,Assumptions!C44,IF(100&gt;=Assumptions!C37,Assumptions!C38,Assumptions!C32)))+(IF(100&gt;=Assumptions!C39,Assumptions!C40,Assumptions!C33))+Assumptions!C34)*Assumptions!C47</f>
        <v>867500</v>
      </c>
      <c r="L8" s="66">
        <f>((IF(500&gt;=Assumptions!C41,Assumptions!C42,Assumptions!C31))+(IF(500&gt;=Assumptions!C43,Assumptions!C44,IF(500&gt;=Assumptions!C37,Assumptions!C38,Assumptions!C32)))+(IF(500&gt;=Assumptions!C39,Assumptions!C40,Assumptions!C33))+Assumptions!C34)*Assumptions!C47</f>
        <v>1301250</v>
      </c>
      <c r="M8" s="66">
        <f>((IF(1000&gt;=Assumptions!C41,Assumptions!C42,Assumptions!C31))+(IF(1000&gt;=Assumptions!C43,Assumptions!C44,IF(1000&gt;=Assumptions!C37,Assumptions!C38,Assumptions!C32)))+(IF(1000&gt;=Assumptions!C39,Assumptions!C40,Assumptions!C33))+Assumptions!C34)*Assumptions!C47</f>
        <v>11260150</v>
      </c>
    </row>
    <row r="9" spans="2:13" ht="15" customHeight="1" x14ac:dyDescent="0.35">
      <c r="B9" s="51" t="s">
        <v>282</v>
      </c>
      <c r="C9" s="52">
        <f>C7+C8</f>
        <v>5292666.08</v>
      </c>
      <c r="D9" s="52">
        <f>D7+D8</f>
        <v>23427080.400000002</v>
      </c>
      <c r="E9" s="52">
        <f>E7+E8</f>
        <v>55511810.800000004</v>
      </c>
      <c r="F9" s="76"/>
      <c r="G9" s="52">
        <f>G7+G8</f>
        <v>8242776.8000000017</v>
      </c>
      <c r="H9" s="52">
        <f>H7+H8</f>
        <v>38177634</v>
      </c>
      <c r="I9" s="52">
        <f>I7+I8</f>
        <v>85012918</v>
      </c>
      <c r="J9" s="76"/>
      <c r="K9" s="52">
        <f>K7+K8</f>
        <v>11930415.200000001</v>
      </c>
      <c r="L9" s="52">
        <f>L7+L8</f>
        <v>56615826</v>
      </c>
      <c r="M9" s="52">
        <f>M7+M8</f>
        <v>121889302</v>
      </c>
    </row>
    <row r="10" spans="2:13" ht="15" customHeight="1" x14ac:dyDescent="0.35">
      <c r="B10" s="56" t="s">
        <v>315</v>
      </c>
      <c r="C10" s="68">
        <f>(ROUND(100*C7,0)*'Pricing Plans'!D5)+(ROUND(100*C8,0)*'Pricing Plans'!E5)+(ROUND(100*C9,0)*'Pricing Plans'!F5)</f>
        <v>25117188826784</v>
      </c>
      <c r="D10" s="68">
        <f>(ROUND(500*D7,0)*'Pricing Plans'!D5)+(ROUND(500*D8,0)*'Pricing Plans'!E5)+(ROUND(500*D9,0)*'Pricing Plans'!F5)</f>
        <v>536845256919600</v>
      </c>
      <c r="E10" s="68">
        <f>(ROUND(1000*E7,0)*'Pricing Plans'!D5)+(ROUND(1000*E8,0)*'Pricing Plans'!E5)+(ROUND(1000*E9,0)*'Pricing Plans'!F5)</f>
        <v>2666822712378400</v>
      </c>
      <c r="F10" s="76"/>
      <c r="G10" s="68">
        <f>(ROUND(100*G7,0)*'Pricing Plans'!D5)+(ROUND(100*G8,0)*'Pricing Plans'!E5)+(ROUND(100*G9,0)*'Pricing Plans'!F5)</f>
        <v>38392097044640</v>
      </c>
      <c r="H10" s="68">
        <f>(ROUND(500*H7,0)*'Pricing Plans'!D5)+(ROUND(500*H8,0)*'Pricing Plans'!E5)+(ROUND(500*H9,0)*'Pricing Plans'!F5)</f>
        <v>868717962366000</v>
      </c>
      <c r="I10" s="68">
        <f>(ROUND(1000*I7,0)*'Pricing Plans'!D5)+(ROUND(1000*I8,0)*'Pricing Plans'!E5)+(ROUND(1000*I9,0)*'Pricing Plans'!F5)</f>
        <v>3994313534164000</v>
      </c>
      <c r="J10" s="76"/>
      <c r="K10" s="68">
        <f>(ROUND(100*K7,0)*'Pricing Plans'!D5)+(ROUND(100*K8,0)*'Pricing Plans'!E5)+(ROUND(100*K9,0)*'Pricing Plans'!F5)</f>
        <v>54985732316960</v>
      </c>
      <c r="L10" s="68">
        <f>(ROUND(500*L7,0)*'Pricing Plans'!D5)+(ROUND(500*L8,0)*'Pricing Plans'!E5)+(ROUND(500*L9,0)*'Pricing Plans'!F5)</f>
        <v>1283558844174000</v>
      </c>
      <c r="M10" s="68">
        <f>(ROUND(1000*M7,0)*'Pricing Plans'!D5)+(ROUND(1000*M8,0)*'Pricing Plans'!E5)+(ROUND(1000*M9,0)*'Pricing Plans'!F5)</f>
        <v>5653677061396000</v>
      </c>
    </row>
    <row r="11" spans="2:13" ht="15" customHeight="1" x14ac:dyDescent="0.35">
      <c r="B11" s="71" t="s">
        <v>284</v>
      </c>
      <c r="C11" s="72">
        <f>C10-C9</f>
        <v>25117183534117.922</v>
      </c>
      <c r="D11" s="72">
        <f>D10-D9</f>
        <v>536845233492519.63</v>
      </c>
      <c r="E11" s="72">
        <f>E10-E9</f>
        <v>2666822656866589</v>
      </c>
      <c r="F11" s="76"/>
      <c r="G11" s="72">
        <f>G10-G9</f>
        <v>38392088801863.203</v>
      </c>
      <c r="H11" s="72">
        <f>H10-H9</f>
        <v>868717924188366</v>
      </c>
      <c r="I11" s="72">
        <f>I10-I9</f>
        <v>3994313449151082</v>
      </c>
      <c r="J11" s="76"/>
      <c r="K11" s="72">
        <f>K10-K9</f>
        <v>54985720386544.797</v>
      </c>
      <c r="L11" s="72">
        <f>L10-L9</f>
        <v>1283558787558174</v>
      </c>
      <c r="M11" s="72">
        <f>M10-M9</f>
        <v>5653676939506698</v>
      </c>
    </row>
    <row r="12" spans="2:13" ht="15" customHeight="1" x14ac:dyDescent="0.35">
      <c r="B12" s="60" t="s">
        <v>285</v>
      </c>
      <c r="C12" s="73">
        <f>IF(C10&lt;&gt;0,C11/C10,0)</f>
        <v>0.99999978928111288</v>
      </c>
      <c r="D12" s="73">
        <f>IF(D10&lt;&gt;0,D11/D10,0)</f>
        <v>0.99999995636157701</v>
      </c>
      <c r="E12" s="73">
        <f>IF(E10&lt;&gt;0,E11/E10,0)</f>
        <v>0.99999997918428896</v>
      </c>
      <c r="F12" s="76"/>
      <c r="G12" s="73">
        <f>IF(G10&lt;&gt;0,G11/G10,0)</f>
        <v>0.99999978530016775</v>
      </c>
      <c r="H12" s="73">
        <f>IF(H10&lt;&gt;0,H11/H10,0)</f>
        <v>0.99999995605290137</v>
      </c>
      <c r="I12" s="73">
        <f>IF(I10&lt;&gt;0,I11/I10,0)</f>
        <v>0.99999997871651358</v>
      </c>
      <c r="J12" s="76"/>
      <c r="K12" s="73">
        <f>IF(K10&lt;&gt;0,K11/K10,0)</f>
        <v>0.99999978302707448</v>
      </c>
      <c r="L12" s="73">
        <f>IF(L10&lt;&gt;0,L11/L10,0)</f>
        <v>0.9999999558915228</v>
      </c>
      <c r="M12" s="73">
        <f>IF(M10&lt;&gt;0,M11/M10,0)</f>
        <v>0.99999997844070321</v>
      </c>
    </row>
    <row r="13" spans="2:13" ht="15" customHeight="1" x14ac:dyDescent="0.35">
      <c r="B13" s="18" t="s">
        <v>286</v>
      </c>
      <c r="C13" s="66">
        <f>C9/100</f>
        <v>52926.660799999998</v>
      </c>
      <c r="D13" s="66">
        <f>D9/500</f>
        <v>46854.160800000005</v>
      </c>
      <c r="E13" s="66">
        <f>E9/1000</f>
        <v>55511.810800000007</v>
      </c>
      <c r="F13" s="76"/>
      <c r="G13" s="66">
        <f>G9/100</f>
        <v>82427.768000000011</v>
      </c>
      <c r="H13" s="66">
        <f>H9/500</f>
        <v>76355.267999999996</v>
      </c>
      <c r="I13" s="66">
        <f>I9/1000</f>
        <v>85012.918000000005</v>
      </c>
      <c r="J13" s="76"/>
      <c r="K13" s="66">
        <f>K9/100</f>
        <v>119304.15200000002</v>
      </c>
      <c r="L13" s="66">
        <f>L9/500</f>
        <v>113231.652</v>
      </c>
      <c r="M13" s="66">
        <f>M9/1000</f>
        <v>121889.302</v>
      </c>
    </row>
    <row r="14" spans="2:13" ht="15" customHeight="1" x14ac:dyDescent="0.35">
      <c r="B14" s="18" t="s">
        <v>287</v>
      </c>
      <c r="C14" s="66">
        <f>C10/100</f>
        <v>251171888267.84</v>
      </c>
      <c r="D14" s="66">
        <f>D10/500</f>
        <v>1073690513839.2</v>
      </c>
      <c r="E14" s="66">
        <f>E10/1000</f>
        <v>2666822712378.3999</v>
      </c>
      <c r="F14" s="76"/>
      <c r="G14" s="66">
        <f>G10/100</f>
        <v>383920970446.40002</v>
      </c>
      <c r="H14" s="66">
        <f>H10/500</f>
        <v>1737435924732</v>
      </c>
      <c r="I14" s="66">
        <f>I10/1000</f>
        <v>3994313534164</v>
      </c>
      <c r="J14" s="76"/>
      <c r="K14" s="66">
        <f>K10/100</f>
        <v>549857323169.59998</v>
      </c>
      <c r="L14" s="66">
        <f>L10/500</f>
        <v>2567117688348</v>
      </c>
      <c r="M14" s="66">
        <f>M10/1000</f>
        <v>5653677061396</v>
      </c>
    </row>
    <row r="15" spans="2:13" ht="15" customHeight="1" x14ac:dyDescent="0.35">
      <c r="B15" s="79" t="s">
        <v>316</v>
      </c>
      <c r="C15" s="74" t="str">
        <f>IF(C11&gt;=0,"✓ Profit","✗ Loss")</f>
        <v>✓ Profit</v>
      </c>
      <c r="D15" s="74" t="str">
        <f>IF(D11&gt;=0,"✓ Profit","✗ Loss")</f>
        <v>✓ Profit</v>
      </c>
      <c r="E15" s="74" t="str">
        <f>IF(E11&gt;=0,"✓ Profit","✗ Loss")</f>
        <v>✓ Profit</v>
      </c>
      <c r="F15" s="76"/>
      <c r="G15" s="74" t="str">
        <f>IF(G11&gt;=0,"✓ Profit","✗ Loss")</f>
        <v>✓ Profit</v>
      </c>
      <c r="H15" s="74" t="str">
        <f>IF(H11&gt;=0,"✓ Profit","✗ Loss")</f>
        <v>✓ Profit</v>
      </c>
      <c r="I15" s="74" t="str">
        <f>IF(I11&gt;=0,"✓ Profit","✗ Loss")</f>
        <v>✓ Profit</v>
      </c>
      <c r="J15" s="76"/>
      <c r="K15" s="74" t="str">
        <f>IF(K11&gt;=0,"✓ Profit","✗ Loss")</f>
        <v>✓ Profit</v>
      </c>
      <c r="L15" s="74" t="str">
        <f>IF(L11&gt;=0,"✓ Profit","✗ Loss")</f>
        <v>✓ Profit</v>
      </c>
      <c r="M15" s="74" t="str">
        <f>IF(M11&gt;=0,"✓ Profit","✗ Loss")</f>
        <v>✓ Profit</v>
      </c>
    </row>
    <row r="16" spans="2:13" x14ac:dyDescent="0.35">
      <c r="F16" s="76"/>
      <c r="J16" s="76"/>
    </row>
    <row r="17" spans="6:10" x14ac:dyDescent="0.35">
      <c r="F17" s="76"/>
      <c r="J17" s="76"/>
    </row>
    <row r="18" spans="6:10" x14ac:dyDescent="0.35">
      <c r="F18" s="76"/>
      <c r="J18" s="76"/>
    </row>
    <row r="19" spans="6:10" x14ac:dyDescent="0.35">
      <c r="F19" s="76"/>
      <c r="J19" s="76"/>
    </row>
    <row r="20" spans="6:10" x14ac:dyDescent="0.35">
      <c r="F20" s="76"/>
      <c r="J20" s="76"/>
    </row>
    <row r="21" spans="6:10" x14ac:dyDescent="0.35">
      <c r="F21" s="76"/>
      <c r="J21" s="76"/>
    </row>
    <row r="22" spans="6:10" x14ac:dyDescent="0.35">
      <c r="F22" s="76"/>
      <c r="J22" s="76"/>
    </row>
    <row r="23" spans="6:10" x14ac:dyDescent="0.35">
      <c r="F23" s="76"/>
      <c r="J23" s="76"/>
    </row>
    <row r="24" spans="6:10" x14ac:dyDescent="0.35">
      <c r="F24" s="76"/>
      <c r="J24" s="76"/>
    </row>
    <row r="25" spans="6:10" x14ac:dyDescent="0.35">
      <c r="F25" s="76"/>
      <c r="J25" s="76"/>
    </row>
    <row r="26" spans="6:10" x14ac:dyDescent="0.35">
      <c r="F26" s="76"/>
      <c r="J26" s="76"/>
    </row>
    <row r="27" spans="6:10" x14ac:dyDescent="0.35">
      <c r="F27" s="76"/>
      <c r="J27" s="76"/>
    </row>
    <row r="28" spans="6:10" x14ac:dyDescent="0.35">
      <c r="F28" s="76"/>
      <c r="J28" s="76"/>
    </row>
    <row r="29" spans="6:10" x14ac:dyDescent="0.35">
      <c r="F29" s="76"/>
      <c r="J29" s="76"/>
    </row>
    <row r="30" spans="6:10" x14ac:dyDescent="0.35">
      <c r="F30" s="76"/>
      <c r="J30" s="76"/>
    </row>
    <row r="31" spans="6:10" x14ac:dyDescent="0.35">
      <c r="F31" s="76"/>
      <c r="J31" s="76"/>
    </row>
    <row r="32" spans="6:10" x14ac:dyDescent="0.35">
      <c r="F32" s="76"/>
      <c r="J32" s="76"/>
    </row>
    <row r="33" spans="6:10" x14ac:dyDescent="0.35">
      <c r="F33" s="76"/>
      <c r="J33" s="76"/>
    </row>
    <row r="34" spans="6:10" x14ac:dyDescent="0.35">
      <c r="F34" s="76"/>
      <c r="J34" s="76"/>
    </row>
    <row r="35" spans="6:10" x14ac:dyDescent="0.35">
      <c r="F35" s="76"/>
      <c r="J35" s="76"/>
    </row>
    <row r="36" spans="6:10" x14ac:dyDescent="0.35">
      <c r="F36" s="76"/>
      <c r="J36" s="76"/>
    </row>
    <row r="37" spans="6:10" x14ac:dyDescent="0.35">
      <c r="F37" s="76"/>
      <c r="J37" s="76"/>
    </row>
    <row r="38" spans="6:10" x14ac:dyDescent="0.35">
      <c r="F38" s="76"/>
      <c r="J38" s="76"/>
    </row>
    <row r="39" spans="6:10" x14ac:dyDescent="0.35">
      <c r="F39" s="76"/>
      <c r="J39" s="76"/>
    </row>
  </sheetData>
  <mergeCells count="5">
    <mergeCell ref="B1:M1"/>
    <mergeCell ref="B2:M2"/>
    <mergeCell ref="C4:E4"/>
    <mergeCell ref="G4:I4"/>
    <mergeCell ref="K4:M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Pricing Plans</vt:lpstr>
      <vt:lpstr>AI Cost</vt:lpstr>
      <vt:lpstr>Infra Cost</vt:lpstr>
      <vt:lpstr>Revenue Model</vt:lpstr>
      <vt:lpstr>P&amp;L Summary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Gilang Dwi Prasetiyo</cp:lastModifiedBy>
  <cp:revision>0</cp:revision>
  <dcterms:created xsi:type="dcterms:W3CDTF">2026-05-16T03:15:02Z</dcterms:created>
  <dcterms:modified xsi:type="dcterms:W3CDTF">2026-05-16T18:41:49Z</dcterms:modified>
  <dc:language>en-US</dc:language>
</cp:coreProperties>
</file>